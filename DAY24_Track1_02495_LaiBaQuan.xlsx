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New folder\"/>
    </mc:Choice>
  </mc:AlternateContent>
  <xr:revisionPtr revIDLastSave="0" documentId="8_{B59BCC4D-C4F5-4CAD-9489-B389A6911D37}" xr6:coauthVersionLast="47" xr6:coauthVersionMax="47" xr10:uidLastSave="{00000000-0000-0000-0000-000000000000}"/>
  <bookViews>
    <workbookView xWindow="-108" yWindow="-108" windowWidth="23256" windowHeight="12456" tabRatio="500"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1" l="1"/>
  <c r="B11" i="11"/>
  <c r="D22" i="9"/>
  <c r="C22" i="9"/>
  <c r="B22" i="9"/>
  <c r="D19" i="9"/>
  <c r="C19" i="9"/>
  <c r="B19" i="9"/>
  <c r="D18" i="9"/>
  <c r="C18" i="9"/>
  <c r="B18" i="9"/>
  <c r="D16" i="9"/>
  <c r="D17" i="9" s="1"/>
  <c r="C16" i="9"/>
  <c r="C17" i="9" s="1"/>
  <c r="B16" i="9"/>
  <c r="B17" i="9" s="1"/>
  <c r="B21" i="9" s="1"/>
  <c r="B119" i="8"/>
  <c r="K88" i="8"/>
  <c r="J88" i="8"/>
  <c r="B143" i="8" s="1"/>
  <c r="I88" i="8"/>
  <c r="B142" i="8" s="1"/>
  <c r="B144" i="8" s="1"/>
  <c r="H88" i="8"/>
  <c r="G88" i="8"/>
  <c r="F88" i="8"/>
  <c r="E88" i="8"/>
  <c r="D88" i="8"/>
  <c r="U140" i="8" s="1"/>
  <c r="K87" i="8"/>
  <c r="J87" i="8"/>
  <c r="I87" i="8"/>
  <c r="B136" i="8" s="1"/>
  <c r="B138" i="8" s="1"/>
  <c r="H87" i="8"/>
  <c r="C64" i="8" s="1"/>
  <c r="G87" i="8"/>
  <c r="F87" i="8"/>
  <c r="E87" i="8"/>
  <c r="P134" i="8" s="1"/>
  <c r="D87" i="8"/>
  <c r="K86" i="8"/>
  <c r="J86" i="8"/>
  <c r="I86" i="8"/>
  <c r="B130" i="8" s="1"/>
  <c r="B132" i="8" s="1"/>
  <c r="H86" i="8"/>
  <c r="G86" i="8"/>
  <c r="F86" i="8"/>
  <c r="E86" i="8"/>
  <c r="V128" i="8" s="1"/>
  <c r="D86" i="8"/>
  <c r="L128" i="8" s="1"/>
  <c r="K85" i="8"/>
  <c r="J85" i="8"/>
  <c r="B125" i="8" s="1"/>
  <c r="I85" i="8"/>
  <c r="B124" i="8" s="1"/>
  <c r="H85" i="8"/>
  <c r="G85" i="8"/>
  <c r="F85" i="8"/>
  <c r="E85" i="8"/>
  <c r="P122" i="8" s="1"/>
  <c r="D85" i="8"/>
  <c r="K84" i="8"/>
  <c r="J84" i="8"/>
  <c r="I84" i="8"/>
  <c r="B118" i="8" s="1"/>
  <c r="H84" i="8"/>
  <c r="G84" i="8"/>
  <c r="F84" i="8"/>
  <c r="E84" i="8"/>
  <c r="D84" i="8"/>
  <c r="K83" i="8"/>
  <c r="J83" i="8"/>
  <c r="I83" i="8"/>
  <c r="B112" i="8" s="1"/>
  <c r="H83" i="8"/>
  <c r="G83" i="8"/>
  <c r="F83" i="8"/>
  <c r="E83" i="8"/>
  <c r="D83" i="8"/>
  <c r="K82" i="8"/>
  <c r="J82" i="8"/>
  <c r="I82" i="8"/>
  <c r="B106" i="8" s="1"/>
  <c r="H82" i="8"/>
  <c r="G82" i="8"/>
  <c r="F82" i="8"/>
  <c r="E82" i="8"/>
  <c r="N104" i="8" s="1"/>
  <c r="D82" i="8"/>
  <c r="K104" i="8" s="1"/>
  <c r="K81" i="8"/>
  <c r="J81" i="8"/>
  <c r="B101" i="8" s="1"/>
  <c r="I81" i="8"/>
  <c r="B100" i="8" s="1"/>
  <c r="B102" i="8" s="1"/>
  <c r="H81" i="8"/>
  <c r="G81" i="8"/>
  <c r="F81" i="8"/>
  <c r="E81" i="8"/>
  <c r="F98" i="8" s="1"/>
  <c r="D81" i="8"/>
  <c r="N98" i="8" s="1"/>
  <c r="K80" i="8"/>
  <c r="J80" i="8"/>
  <c r="I80" i="8"/>
  <c r="B94" i="8" s="1"/>
  <c r="H80" i="8"/>
  <c r="G80" i="8"/>
  <c r="F80" i="8"/>
  <c r="E80" i="8"/>
  <c r="Z92" i="8" s="1"/>
  <c r="D80" i="8"/>
  <c r="B77" i="8"/>
  <c r="B76" i="8"/>
  <c r="B75" i="8"/>
  <c r="B74" i="8"/>
  <c r="B64" i="8"/>
  <c r="B63" i="8"/>
  <c r="B62" i="8"/>
  <c r="C61" i="8"/>
  <c r="B61" i="8"/>
  <c r="B60" i="8"/>
  <c r="N36" i="8"/>
  <c r="Y30" i="8"/>
  <c r="Y35" i="8" s="1"/>
  <c r="B25" i="8"/>
  <c r="B27" i="8" s="1"/>
  <c r="Z24" i="8"/>
  <c r="Y24" i="8"/>
  <c r="X24" i="8"/>
  <c r="W24" i="8"/>
  <c r="V24" i="8"/>
  <c r="U24" i="8"/>
  <c r="T24" i="8"/>
  <c r="S24" i="8"/>
  <c r="R24" i="8"/>
  <c r="Q24" i="8"/>
  <c r="P24" i="8"/>
  <c r="O24" i="8"/>
  <c r="N24" i="8"/>
  <c r="M24" i="8"/>
  <c r="L24" i="8"/>
  <c r="K24" i="8"/>
  <c r="J24" i="8"/>
  <c r="I24" i="8"/>
  <c r="H24" i="8"/>
  <c r="G24" i="8"/>
  <c r="F24" i="8"/>
  <c r="E24" i="8"/>
  <c r="D24" i="8"/>
  <c r="C24" i="8"/>
  <c r="T23" i="8"/>
  <c r="Z18" i="8"/>
  <c r="Z23" i="8" s="1"/>
  <c r="Y18" i="8"/>
  <c r="Y23" i="8" s="1"/>
  <c r="X18" i="8"/>
  <c r="X23" i="8" s="1"/>
  <c r="W18" i="8"/>
  <c r="W23" i="8" s="1"/>
  <c r="V18" i="8"/>
  <c r="V23" i="8" s="1"/>
  <c r="U18" i="8"/>
  <c r="U23" i="8" s="1"/>
  <c r="T18" i="8"/>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C19" i="8" s="1"/>
  <c r="B13" i="8"/>
  <c r="B15" i="8" s="1"/>
  <c r="Y12" i="8"/>
  <c r="P12" i="8"/>
  <c r="E12" i="8"/>
  <c r="D12" i="8"/>
  <c r="V6" i="8"/>
  <c r="L6" i="8"/>
  <c r="K6" i="8"/>
  <c r="K11" i="8" s="1"/>
  <c r="C10" i="7"/>
  <c r="C8" i="7"/>
  <c r="B8" i="7"/>
  <c r="B21" i="6"/>
  <c r="D13" i="6"/>
  <c r="B13" i="6"/>
  <c r="B14" i="8" s="1"/>
  <c r="D12" i="6"/>
  <c r="B37" i="8" s="1"/>
  <c r="B12" i="6"/>
  <c r="D11" i="6"/>
  <c r="X36" i="8" s="1"/>
  <c r="B11" i="6"/>
  <c r="R12" i="8" s="1"/>
  <c r="D10" i="6"/>
  <c r="B22" i="6" s="1"/>
  <c r="B10" i="6"/>
  <c r="B10" i="7" s="1"/>
  <c r="D9" i="6"/>
  <c r="B9" i="6"/>
  <c r="D8" i="6"/>
  <c r="P30" i="8" s="1"/>
  <c r="P35" i="8" s="1"/>
  <c r="B8" i="6"/>
  <c r="D7" i="6"/>
  <c r="S30" i="8" s="1"/>
  <c r="S35" i="8" s="1"/>
  <c r="B7" i="6"/>
  <c r="X6" i="8" s="1"/>
  <c r="B30" i="5"/>
  <c r="C30" i="5" s="1"/>
  <c r="D30" i="5" s="1"/>
  <c r="B29" i="5"/>
  <c r="C29" i="5" s="1"/>
  <c r="D29" i="5" s="1"/>
  <c r="C17" i="5"/>
  <c r="B17" i="5"/>
  <c r="B18" i="5" s="1"/>
  <c r="G16" i="5"/>
  <c r="D16" i="5"/>
  <c r="G15" i="5"/>
  <c r="G17" i="5" s="1"/>
  <c r="D15" i="5"/>
  <c r="B88" i="8" s="1"/>
  <c r="B23" i="4"/>
  <c r="B24" i="4" s="1"/>
  <c r="B22" i="4"/>
  <c r="B21" i="4"/>
  <c r="G89" i="3"/>
  <c r="C88" i="3"/>
  <c r="G88" i="3" s="1"/>
  <c r="G87" i="3"/>
  <c r="C86" i="3"/>
  <c r="G86" i="3" s="1"/>
  <c r="G72" i="3"/>
  <c r="G71" i="3"/>
  <c r="G70" i="3"/>
  <c r="G68" i="3"/>
  <c r="G67" i="3"/>
  <c r="G64" i="3"/>
  <c r="G62" i="3"/>
  <c r="G53" i="3"/>
  <c r="G52" i="3"/>
  <c r="G51" i="3"/>
  <c r="G50" i="3"/>
  <c r="G46" i="3"/>
  <c r="G41" i="3"/>
  <c r="E32" i="3"/>
  <c r="D32" i="3"/>
  <c r="C32" i="3"/>
  <c r="G31" i="3"/>
  <c r="F31" i="3"/>
  <c r="G33" i="3" s="1"/>
  <c r="F30" i="3"/>
  <c r="G29" i="3"/>
  <c r="F29" i="3"/>
  <c r="F28" i="3"/>
  <c r="G27" i="3"/>
  <c r="F27" i="3"/>
  <c r="F26" i="3"/>
  <c r="G25" i="3"/>
  <c r="F25" i="3"/>
  <c r="F24" i="3"/>
  <c r="G23" i="3"/>
  <c r="F23" i="3"/>
  <c r="F22" i="3"/>
  <c r="F21" i="3"/>
  <c r="B12" i="2"/>
  <c r="B96" i="8" l="1"/>
  <c r="B95" i="8"/>
  <c r="C6" i="8"/>
  <c r="C11" i="8" s="1"/>
  <c r="V12" i="8"/>
  <c r="R30" i="8"/>
  <c r="R35" i="8" s="1"/>
  <c r="Q98" i="8"/>
  <c r="C20" i="9"/>
  <c r="D10" i="7"/>
  <c r="V11" i="8"/>
  <c r="B113" i="8"/>
  <c r="O98" i="8"/>
  <c r="F104" i="8"/>
  <c r="V104" i="8"/>
  <c r="K128" i="8"/>
  <c r="B20" i="9"/>
  <c r="D17" i="5"/>
  <c r="B17" i="6" s="1"/>
  <c r="D6" i="8"/>
  <c r="D11" i="8" s="1"/>
  <c r="X12" i="8"/>
  <c r="Z104" i="8"/>
  <c r="K116" i="8"/>
  <c r="F122" i="8"/>
  <c r="N128" i="8"/>
  <c r="V98" i="8"/>
  <c r="L104" i="8"/>
  <c r="U128" i="8"/>
  <c r="C21" i="9"/>
  <c r="M104" i="8"/>
  <c r="C63" i="8"/>
  <c r="Y98" i="8"/>
  <c r="X11" i="8"/>
  <c r="M6" i="8"/>
  <c r="M11" i="8" s="1"/>
  <c r="F12" i="8"/>
  <c r="P36" i="8"/>
  <c r="G98" i="8"/>
  <c r="C104" i="8"/>
  <c r="C105" i="8" s="1"/>
  <c r="D105" i="8" s="1"/>
  <c r="E105" i="8" s="1"/>
  <c r="S104" i="8"/>
  <c r="Q122" i="8"/>
  <c r="E140" i="8"/>
  <c r="V30" i="8"/>
  <c r="V35" i="8" s="1"/>
  <c r="D8" i="7"/>
  <c r="T6" i="8"/>
  <c r="T11" i="8" s="1"/>
  <c r="M12" i="8"/>
  <c r="C30" i="8"/>
  <c r="C35" i="8" s="1"/>
  <c r="S36" i="8"/>
  <c r="I98" i="8"/>
  <c r="D104" i="8"/>
  <c r="T104" i="8"/>
  <c r="E128" i="8"/>
  <c r="W98" i="8"/>
  <c r="L11" i="8"/>
  <c r="Z134" i="8"/>
  <c r="F32" i="3"/>
  <c r="U6" i="8"/>
  <c r="U11" i="8" s="1"/>
  <c r="N12" i="8"/>
  <c r="C23" i="8"/>
  <c r="H30" i="8"/>
  <c r="H35" i="8" s="1"/>
  <c r="E104" i="8"/>
  <c r="U104" i="8"/>
  <c r="F128" i="8"/>
  <c r="B5" i="7"/>
  <c r="E15" i="5"/>
  <c r="B27" i="4"/>
  <c r="E16" i="5"/>
  <c r="B26" i="4"/>
  <c r="B19" i="5" s="1"/>
  <c r="B25" i="4"/>
  <c r="B5" i="10" s="1"/>
  <c r="C5" i="10" s="1"/>
  <c r="F16" i="5"/>
  <c r="D17" i="6"/>
  <c r="C17" i="6"/>
  <c r="W110" i="8"/>
  <c r="O110" i="8"/>
  <c r="G110" i="8"/>
  <c r="V110" i="8"/>
  <c r="N110" i="8"/>
  <c r="F110" i="8"/>
  <c r="U110" i="8"/>
  <c r="M110" i="8"/>
  <c r="E110" i="8"/>
  <c r="T110" i="8"/>
  <c r="L110" i="8"/>
  <c r="D110" i="8"/>
  <c r="K110" i="8"/>
  <c r="Z110" i="8"/>
  <c r="J110" i="8"/>
  <c r="X110" i="8"/>
  <c r="H110" i="8"/>
  <c r="S110" i="8"/>
  <c r="C110" i="8"/>
  <c r="R110" i="8"/>
  <c r="I110" i="8"/>
  <c r="Q110" i="8"/>
  <c r="Y110" i="8"/>
  <c r="P110" i="8"/>
  <c r="B21" i="5"/>
  <c r="B23" i="5" s="1"/>
  <c r="B22" i="5"/>
  <c r="D19" i="8"/>
  <c r="E6" i="8"/>
  <c r="E11" i="8" s="1"/>
  <c r="N6" i="8"/>
  <c r="N11" i="8" s="1"/>
  <c r="H12" i="8"/>
  <c r="Q12" i="8"/>
  <c r="Z12" i="8"/>
  <c r="F30" i="8"/>
  <c r="F35" i="8" s="1"/>
  <c r="V36" i="8"/>
  <c r="C60" i="8"/>
  <c r="C111" i="8"/>
  <c r="W134" i="8"/>
  <c r="O134" i="8"/>
  <c r="G134" i="8"/>
  <c r="V134" i="8"/>
  <c r="N134" i="8"/>
  <c r="F134" i="8"/>
  <c r="U134" i="8"/>
  <c r="M134" i="8"/>
  <c r="E134" i="8"/>
  <c r="T134" i="8"/>
  <c r="L134" i="8"/>
  <c r="D134" i="8"/>
  <c r="Y134" i="8"/>
  <c r="I134" i="8"/>
  <c r="X134" i="8"/>
  <c r="H134" i="8"/>
  <c r="S134" i="8"/>
  <c r="C134" i="8"/>
  <c r="C135" i="8" s="1"/>
  <c r="R134" i="8"/>
  <c r="Q134" i="8"/>
  <c r="K134" i="8"/>
  <c r="J134" i="8"/>
  <c r="D20" i="9"/>
  <c r="D21" i="9"/>
  <c r="W6" i="8"/>
  <c r="W11" i="8" s="1"/>
  <c r="O6" i="8"/>
  <c r="O11" i="8" s="1"/>
  <c r="G6" i="8"/>
  <c r="G11" i="8" s="1"/>
  <c r="P6" i="8"/>
  <c r="P11" i="8" s="1"/>
  <c r="I12" i="8"/>
  <c r="C117" i="8"/>
  <c r="X116" i="8"/>
  <c r="P116" i="8"/>
  <c r="H116" i="8"/>
  <c r="W116" i="8"/>
  <c r="O116" i="8"/>
  <c r="G116" i="8"/>
  <c r="V116" i="8"/>
  <c r="N116" i="8"/>
  <c r="F116" i="8"/>
  <c r="U116" i="8"/>
  <c r="M116" i="8"/>
  <c r="E116" i="8"/>
  <c r="Z116" i="8"/>
  <c r="J116" i="8"/>
  <c r="Y116" i="8"/>
  <c r="I116" i="8"/>
  <c r="T116" i="8"/>
  <c r="D116" i="8"/>
  <c r="S116" i="8"/>
  <c r="C116" i="8"/>
  <c r="R116" i="8"/>
  <c r="Q116" i="8"/>
  <c r="W12" i="8"/>
  <c r="O12" i="8"/>
  <c r="G12" i="8"/>
  <c r="F6" i="8"/>
  <c r="F11" i="8" s="1"/>
  <c r="Y6" i="8"/>
  <c r="Y11" i="8" s="1"/>
  <c r="U30" i="8"/>
  <c r="U35" i="8" s="1"/>
  <c r="M30" i="8"/>
  <c r="M35" i="8" s="1"/>
  <c r="E30" i="8"/>
  <c r="E35" i="8" s="1"/>
  <c r="T30" i="8"/>
  <c r="T35" i="8" s="1"/>
  <c r="L30" i="8"/>
  <c r="L35" i="8" s="1"/>
  <c r="D30" i="8"/>
  <c r="D35" i="8" s="1"/>
  <c r="X30" i="8"/>
  <c r="X35" i="8" s="1"/>
  <c r="N30" i="8"/>
  <c r="N35" i="8" s="1"/>
  <c r="W30" i="8"/>
  <c r="W35" i="8" s="1"/>
  <c r="K30" i="8"/>
  <c r="K35" i="8" s="1"/>
  <c r="Q30" i="8"/>
  <c r="Q35" i="8" s="1"/>
  <c r="G30" i="8"/>
  <c r="G35" i="8" s="1"/>
  <c r="U36" i="8"/>
  <c r="M36" i="8"/>
  <c r="E36" i="8"/>
  <c r="T36" i="8"/>
  <c r="L36" i="8"/>
  <c r="D36" i="8"/>
  <c r="R36" i="8"/>
  <c r="H36" i="8"/>
  <c r="Q36" i="8"/>
  <c r="G36" i="8"/>
  <c r="Y36" i="8"/>
  <c r="O36" i="8"/>
  <c r="C36" i="8"/>
  <c r="W36" i="8"/>
  <c r="K36" i="8"/>
  <c r="H6" i="8"/>
  <c r="H11" i="8" s="1"/>
  <c r="Q6" i="8"/>
  <c r="Q11" i="8" s="1"/>
  <c r="Z6" i="8"/>
  <c r="Z11" i="8" s="1"/>
  <c r="J12" i="8"/>
  <c r="S12" i="8"/>
  <c r="I30" i="8"/>
  <c r="I35" i="8" s="1"/>
  <c r="Z30" i="8"/>
  <c r="Z35" i="8" s="1"/>
  <c r="F36" i="8"/>
  <c r="Z36" i="8"/>
  <c r="J92" i="8"/>
  <c r="L116" i="8"/>
  <c r="R6" i="8"/>
  <c r="R11" i="8" s="1"/>
  <c r="K12" i="8"/>
  <c r="T12" i="8"/>
  <c r="J30" i="8"/>
  <c r="J35" i="8" s="1"/>
  <c r="I36" i="8"/>
  <c r="B108" i="8"/>
  <c r="Q92" i="8"/>
  <c r="B107" i="8"/>
  <c r="B31" i="5"/>
  <c r="C31" i="5" s="1"/>
  <c r="D31" i="5" s="1"/>
  <c r="I6" i="8"/>
  <c r="I11" i="8" s="1"/>
  <c r="B39" i="8"/>
  <c r="J6" i="8"/>
  <c r="J11" i="8" s="1"/>
  <c r="S6" i="8"/>
  <c r="S11" i="8" s="1"/>
  <c r="C12" i="8"/>
  <c r="L12" i="8"/>
  <c r="U12" i="8"/>
  <c r="O30" i="8"/>
  <c r="O35" i="8" s="1"/>
  <c r="J36" i="8"/>
  <c r="X92" i="8"/>
  <c r="P92" i="8"/>
  <c r="H92" i="8"/>
  <c r="W92" i="8"/>
  <c r="O92" i="8"/>
  <c r="G92" i="8"/>
  <c r="V92" i="8"/>
  <c r="N92" i="8"/>
  <c r="F92" i="8"/>
  <c r="U92" i="8"/>
  <c r="M92" i="8"/>
  <c r="E92" i="8"/>
  <c r="L92" i="8"/>
  <c r="K92" i="8"/>
  <c r="Y92" i="8"/>
  <c r="I92" i="8"/>
  <c r="T92" i="8"/>
  <c r="D92" i="8"/>
  <c r="S92" i="8"/>
  <c r="C92" i="8"/>
  <c r="C93" i="8" s="1"/>
  <c r="R92" i="8"/>
  <c r="B26" i="8"/>
  <c r="C62" i="8"/>
  <c r="U98" i="8"/>
  <c r="M98" i="8"/>
  <c r="E98" i="8"/>
  <c r="T98" i="8"/>
  <c r="L98" i="8"/>
  <c r="D98" i="8"/>
  <c r="S98" i="8"/>
  <c r="K98" i="8"/>
  <c r="C98" i="8"/>
  <c r="Z98" i="8"/>
  <c r="R98" i="8"/>
  <c r="J98" i="8"/>
  <c r="B120" i="8"/>
  <c r="T140" i="8"/>
  <c r="L140" i="8"/>
  <c r="D140" i="8"/>
  <c r="S140" i="8"/>
  <c r="K140" i="8"/>
  <c r="C140" i="8"/>
  <c r="C141" i="8" s="1"/>
  <c r="Z140" i="8"/>
  <c r="R140" i="8"/>
  <c r="J140" i="8"/>
  <c r="Y140" i="8"/>
  <c r="Q140" i="8"/>
  <c r="I140" i="8"/>
  <c r="N140" i="8"/>
  <c r="M140" i="8"/>
  <c r="X140" i="8"/>
  <c r="H140" i="8"/>
  <c r="W140" i="8"/>
  <c r="G140" i="8"/>
  <c r="V140" i="8"/>
  <c r="F140" i="8"/>
  <c r="H98" i="8"/>
  <c r="X98" i="8"/>
  <c r="V122" i="8"/>
  <c r="B114" i="8"/>
  <c r="W122" i="8"/>
  <c r="C99" i="8"/>
  <c r="B126" i="8"/>
  <c r="B9" i="10"/>
  <c r="C9" i="10" s="1"/>
  <c r="B38" i="8"/>
  <c r="B131" i="8"/>
  <c r="P98" i="8"/>
  <c r="O140" i="8"/>
  <c r="U122" i="8"/>
  <c r="M122" i="8"/>
  <c r="E122" i="8"/>
  <c r="T122" i="8"/>
  <c r="L122" i="8"/>
  <c r="D122" i="8"/>
  <c r="S122" i="8"/>
  <c r="K122" i="8"/>
  <c r="C122" i="8"/>
  <c r="C123" i="8" s="1"/>
  <c r="Z122" i="8"/>
  <c r="R122" i="8"/>
  <c r="J122" i="8"/>
  <c r="O122" i="8"/>
  <c r="N122" i="8"/>
  <c r="Y122" i="8"/>
  <c r="I122" i="8"/>
  <c r="X122" i="8"/>
  <c r="H122" i="8"/>
  <c r="G122" i="8"/>
  <c r="P140" i="8"/>
  <c r="G104" i="8"/>
  <c r="O104" i="8"/>
  <c r="W104" i="8"/>
  <c r="M128" i="8"/>
  <c r="H104" i="8"/>
  <c r="P104" i="8"/>
  <c r="X104" i="8"/>
  <c r="Z128" i="8"/>
  <c r="R128" i="8"/>
  <c r="J128" i="8"/>
  <c r="Y128" i="8"/>
  <c r="Q128" i="8"/>
  <c r="I128" i="8"/>
  <c r="X128" i="8"/>
  <c r="P128" i="8"/>
  <c r="H128" i="8"/>
  <c r="W128" i="8"/>
  <c r="O128" i="8"/>
  <c r="G128" i="8"/>
  <c r="B137" i="8"/>
  <c r="I104" i="8"/>
  <c r="Q104" i="8"/>
  <c r="Y104" i="8"/>
  <c r="C128" i="8"/>
  <c r="C129" i="8" s="1"/>
  <c r="S128" i="8"/>
  <c r="J104" i="8"/>
  <c r="R104" i="8"/>
  <c r="D128" i="8"/>
  <c r="T128" i="8"/>
  <c r="C7" i="8" l="1"/>
  <c r="C31" i="8"/>
  <c r="D93" i="8"/>
  <c r="D129" i="8"/>
  <c r="D135" i="8"/>
  <c r="D123" i="8"/>
  <c r="D5" i="7"/>
  <c r="E19" i="8"/>
  <c r="D20" i="8"/>
  <c r="C32" i="8"/>
  <c r="E30" i="5"/>
  <c r="F30" i="5" s="1"/>
  <c r="E31" i="5"/>
  <c r="F31" i="5" s="1"/>
  <c r="B58" i="8"/>
  <c r="B87" i="8"/>
  <c r="B83" i="8"/>
  <c r="B72" i="8"/>
  <c r="B86" i="8"/>
  <c r="B80" i="8"/>
  <c r="B82" i="8"/>
  <c r="B81" i="8"/>
  <c r="C58" i="8" s="1"/>
  <c r="B85" i="8"/>
  <c r="C5" i="7"/>
  <c r="B84" i="8"/>
  <c r="D141" i="8"/>
  <c r="D111" i="8"/>
  <c r="D117" i="8"/>
  <c r="D99" i="8"/>
  <c r="D31" i="8"/>
  <c r="F15" i="5"/>
  <c r="E29" i="5"/>
  <c r="F29" i="5" s="1"/>
  <c r="C88" i="8"/>
  <c r="C142" i="8" s="1"/>
  <c r="E17" i="5"/>
  <c r="H15" i="5"/>
  <c r="F105" i="8"/>
  <c r="C20" i="8"/>
  <c r="H16" i="5"/>
  <c r="D7" i="8" l="1"/>
  <c r="C8" i="8"/>
  <c r="C144" i="8"/>
  <c r="C143" i="8"/>
  <c r="E117" i="8"/>
  <c r="E123" i="8"/>
  <c r="E129" i="8"/>
  <c r="D18" i="6"/>
  <c r="C18" i="6"/>
  <c r="B18" i="6"/>
  <c r="B32" i="5"/>
  <c r="C32" i="5" s="1"/>
  <c r="H17" i="5"/>
  <c r="F17" i="5"/>
  <c r="E111" i="8"/>
  <c r="E135" i="8"/>
  <c r="E31" i="8"/>
  <c r="D32" i="8"/>
  <c r="E141" i="8"/>
  <c r="D142" i="8"/>
  <c r="F19" i="8"/>
  <c r="E21" i="8"/>
  <c r="E20" i="8"/>
  <c r="E22" i="8" s="1"/>
  <c r="E25" i="8" s="1"/>
  <c r="G105" i="8"/>
  <c r="E99" i="8"/>
  <c r="E93" i="8"/>
  <c r="E7" i="8" l="1"/>
  <c r="D8" i="8"/>
  <c r="F135" i="8"/>
  <c r="F111" i="8"/>
  <c r="F93" i="8"/>
  <c r="D144" i="8"/>
  <c r="F99" i="8"/>
  <c r="B6" i="7"/>
  <c r="C9" i="8"/>
  <c r="C10" i="8" s="1"/>
  <c r="C13" i="8" s="1"/>
  <c r="D9" i="8"/>
  <c r="D10" i="8" s="1"/>
  <c r="D13" i="8" s="1"/>
  <c r="F141" i="8"/>
  <c r="E142" i="8"/>
  <c r="C33" i="8"/>
  <c r="C34" i="8" s="1"/>
  <c r="C37" i="8" s="1"/>
  <c r="D6" i="7"/>
  <c r="F123" i="8"/>
  <c r="G19" i="8"/>
  <c r="F21" i="8"/>
  <c r="F20" i="8"/>
  <c r="F22" i="8" s="1"/>
  <c r="F25" i="8" s="1"/>
  <c r="F117" i="8"/>
  <c r="D33" i="8"/>
  <c r="D143" i="8"/>
  <c r="H105" i="8"/>
  <c r="C87" i="8"/>
  <c r="C83" i="8"/>
  <c r="B59" i="8"/>
  <c r="C86" i="8"/>
  <c r="C82" i="8"/>
  <c r="G106" i="8" s="1"/>
  <c r="C80" i="8"/>
  <c r="E94" i="8" s="1"/>
  <c r="C85" i="8"/>
  <c r="C84" i="8"/>
  <c r="E118" i="8" s="1"/>
  <c r="C81" i="8"/>
  <c r="C21" i="8"/>
  <c r="C22" i="8" s="1"/>
  <c r="C25" i="8" s="1"/>
  <c r="C6" i="7"/>
  <c r="D21" i="8"/>
  <c r="D22" i="8" s="1"/>
  <c r="D25" i="8" s="1"/>
  <c r="D34" i="8"/>
  <c r="D37" i="8" s="1"/>
  <c r="E9" i="8"/>
  <c r="E33" i="8"/>
  <c r="E32" i="8"/>
  <c r="F31" i="8"/>
  <c r="F129" i="8"/>
  <c r="E130" i="8"/>
  <c r="E8" i="8" l="1"/>
  <c r="E10" i="8" s="1"/>
  <c r="E13" i="8" s="1"/>
  <c r="F7" i="8"/>
  <c r="F142" i="8"/>
  <c r="G141" i="8"/>
  <c r="C7" i="7"/>
  <c r="C12" i="7"/>
  <c r="B8" i="10" s="1"/>
  <c r="C8" i="10" s="1"/>
  <c r="C9" i="7"/>
  <c r="C27" i="8"/>
  <c r="C26" i="8"/>
  <c r="H19" i="8"/>
  <c r="G21" i="8"/>
  <c r="G20" i="8"/>
  <c r="C15" i="8"/>
  <c r="C14" i="8"/>
  <c r="F112" i="8"/>
  <c r="G111" i="8"/>
  <c r="E143" i="8"/>
  <c r="B7" i="7"/>
  <c r="B9" i="7"/>
  <c r="B11" i="7" s="1"/>
  <c r="B12" i="7"/>
  <c r="D124" i="8"/>
  <c r="C124" i="8"/>
  <c r="C94" i="8"/>
  <c r="D94" i="8"/>
  <c r="E144" i="8"/>
  <c r="F144" i="8" s="1"/>
  <c r="C59" i="8"/>
  <c r="E106" i="8"/>
  <c r="C106" i="8"/>
  <c r="D106" i="8"/>
  <c r="F106" i="8"/>
  <c r="D130" i="8"/>
  <c r="C130" i="8"/>
  <c r="F33" i="8"/>
  <c r="G31" i="8"/>
  <c r="F32" i="8"/>
  <c r="D112" i="8"/>
  <c r="C112" i="8"/>
  <c r="F118" i="8"/>
  <c r="G117" i="8"/>
  <c r="E124" i="8"/>
  <c r="E112" i="8"/>
  <c r="E34" i="8"/>
  <c r="E37" i="8" s="1"/>
  <c r="C100" i="8"/>
  <c r="D100" i="8"/>
  <c r="C136" i="8"/>
  <c r="D136" i="8"/>
  <c r="G123" i="8"/>
  <c r="F124" i="8"/>
  <c r="E100" i="8"/>
  <c r="F136" i="8"/>
  <c r="G135" i="8"/>
  <c r="C38" i="8"/>
  <c r="C39" i="8"/>
  <c r="F94" i="8"/>
  <c r="G93" i="8"/>
  <c r="F130" i="8"/>
  <c r="G129" i="8"/>
  <c r="C118" i="8"/>
  <c r="D118" i="8"/>
  <c r="H106" i="8"/>
  <c r="I105" i="8"/>
  <c r="D7" i="7"/>
  <c r="D9" i="7"/>
  <c r="D11" i="7" s="1"/>
  <c r="D12" i="7"/>
  <c r="G99" i="8"/>
  <c r="F100" i="8"/>
  <c r="E136" i="8"/>
  <c r="B13" i="7" l="1"/>
  <c r="G7" i="8"/>
  <c r="F8" i="8"/>
  <c r="F9" i="8"/>
  <c r="D13" i="7"/>
  <c r="F143" i="8"/>
  <c r="G118" i="8"/>
  <c r="H117" i="8"/>
  <c r="G94" i="8"/>
  <c r="H93" i="8"/>
  <c r="G22" i="8"/>
  <c r="G25" i="8" s="1"/>
  <c r="D39" i="8"/>
  <c r="E39" i="8" s="1"/>
  <c r="H21" i="8"/>
  <c r="H20" i="8"/>
  <c r="H22" i="8" s="1"/>
  <c r="H25" i="8" s="1"/>
  <c r="I19" i="8"/>
  <c r="D38" i="8"/>
  <c r="E38" i="8" s="1"/>
  <c r="C125" i="8"/>
  <c r="C126" i="8"/>
  <c r="D26" i="8"/>
  <c r="E26" i="8" s="1"/>
  <c r="F26" i="8" s="1"/>
  <c r="G26" i="8" s="1"/>
  <c r="C11" i="7"/>
  <c r="C132" i="8"/>
  <c r="C131" i="8"/>
  <c r="G124" i="8"/>
  <c r="H123" i="8"/>
  <c r="G112" i="8"/>
  <c r="H111" i="8"/>
  <c r="H99" i="8"/>
  <c r="G100" i="8"/>
  <c r="C108" i="8"/>
  <c r="C107" i="8"/>
  <c r="D15" i="8"/>
  <c r="E15" i="8" s="1"/>
  <c r="D27" i="8"/>
  <c r="E27" i="8" s="1"/>
  <c r="F27" i="8" s="1"/>
  <c r="B6" i="10"/>
  <c r="C6" i="10" s="1"/>
  <c r="B73" i="8"/>
  <c r="I106" i="8"/>
  <c r="J105" i="8"/>
  <c r="C96" i="8"/>
  <c r="C95" i="8"/>
  <c r="C138" i="8"/>
  <c r="C137" i="8"/>
  <c r="C119" i="8"/>
  <c r="C120" i="8"/>
  <c r="G130" i="8"/>
  <c r="H129" i="8"/>
  <c r="C102" i="8"/>
  <c r="C101" i="8"/>
  <c r="F34" i="8"/>
  <c r="F37" i="8" s="1"/>
  <c r="G142" i="8"/>
  <c r="G144" i="8" s="1"/>
  <c r="H141" i="8"/>
  <c r="C113" i="8"/>
  <c r="C114" i="8"/>
  <c r="D14" i="8"/>
  <c r="E14" i="8" s="1"/>
  <c r="G136" i="8"/>
  <c r="H135" i="8"/>
  <c r="G32" i="8"/>
  <c r="H31" i="8"/>
  <c r="G33" i="8"/>
  <c r="F10" i="8" l="1"/>
  <c r="F13" i="8" s="1"/>
  <c r="F14" i="8" s="1"/>
  <c r="G27" i="8"/>
  <c r="H27" i="8" s="1"/>
  <c r="F38" i="8"/>
  <c r="G9" i="8"/>
  <c r="G8" i="8"/>
  <c r="H7" i="8"/>
  <c r="H26" i="8"/>
  <c r="G34" i="8"/>
  <c r="G37" i="8" s="1"/>
  <c r="F15" i="8"/>
  <c r="D96" i="8"/>
  <c r="E96" i="8" s="1"/>
  <c r="F96" i="8" s="1"/>
  <c r="G96" i="8" s="1"/>
  <c r="D108" i="8"/>
  <c r="E108" i="8" s="1"/>
  <c r="F108" i="8" s="1"/>
  <c r="G108" i="8" s="1"/>
  <c r="H108" i="8" s="1"/>
  <c r="I108" i="8" s="1"/>
  <c r="D131" i="8"/>
  <c r="E131" i="8" s="1"/>
  <c r="F131" i="8" s="1"/>
  <c r="G131" i="8" s="1"/>
  <c r="D126" i="8"/>
  <c r="E126" i="8" s="1"/>
  <c r="F126" i="8" s="1"/>
  <c r="G126" i="8" s="1"/>
  <c r="H118" i="8"/>
  <c r="I117" i="8"/>
  <c r="D95" i="8"/>
  <c r="E95" i="8" s="1"/>
  <c r="F95" i="8" s="1"/>
  <c r="G95" i="8" s="1"/>
  <c r="H95" i="8" s="1"/>
  <c r="D113" i="8"/>
  <c r="E113" i="8" s="1"/>
  <c r="F113" i="8" s="1"/>
  <c r="G113" i="8" s="1"/>
  <c r="H136" i="8"/>
  <c r="I135" i="8"/>
  <c r="D120" i="8"/>
  <c r="E120" i="8" s="1"/>
  <c r="F120" i="8" s="1"/>
  <c r="G120" i="8" s="1"/>
  <c r="H124" i="8"/>
  <c r="I123" i="8"/>
  <c r="H94" i="8"/>
  <c r="I93" i="8"/>
  <c r="D119" i="8"/>
  <c r="E119" i="8" s="1"/>
  <c r="F119" i="8" s="1"/>
  <c r="G119" i="8" s="1"/>
  <c r="D107" i="8"/>
  <c r="E107" i="8" s="1"/>
  <c r="F107" i="8" s="1"/>
  <c r="G107" i="8" s="1"/>
  <c r="H107" i="8" s="1"/>
  <c r="I107" i="8" s="1"/>
  <c r="D125" i="8"/>
  <c r="E125" i="8" s="1"/>
  <c r="F125" i="8" s="1"/>
  <c r="G125" i="8" s="1"/>
  <c r="H32" i="8"/>
  <c r="I31" i="8"/>
  <c r="H33" i="8"/>
  <c r="H130" i="8"/>
  <c r="I129" i="8"/>
  <c r="I111" i="8"/>
  <c r="H112" i="8"/>
  <c r="G38" i="8"/>
  <c r="H142" i="8"/>
  <c r="H144" i="8" s="1"/>
  <c r="I141" i="8"/>
  <c r="J19" i="8"/>
  <c r="I21" i="8"/>
  <c r="I20" i="8"/>
  <c r="D137" i="8"/>
  <c r="E137" i="8" s="1"/>
  <c r="F137" i="8" s="1"/>
  <c r="G137" i="8" s="1"/>
  <c r="D132" i="8"/>
  <c r="E132" i="8" s="1"/>
  <c r="F132" i="8" s="1"/>
  <c r="G132" i="8" s="1"/>
  <c r="F39" i="8"/>
  <c r="K105" i="8"/>
  <c r="J106" i="8"/>
  <c r="D101" i="8"/>
  <c r="E101" i="8" s="1"/>
  <c r="F101" i="8" s="1"/>
  <c r="G101" i="8" s="1"/>
  <c r="D138" i="8"/>
  <c r="E138" i="8" s="1"/>
  <c r="F138" i="8" s="1"/>
  <c r="G138" i="8" s="1"/>
  <c r="D114" i="8"/>
  <c r="E114" i="8" s="1"/>
  <c r="F114" i="8" s="1"/>
  <c r="G114" i="8" s="1"/>
  <c r="D102" i="8"/>
  <c r="E102" i="8" s="1"/>
  <c r="F102" i="8" s="1"/>
  <c r="G102" i="8" s="1"/>
  <c r="I99" i="8"/>
  <c r="H100" i="8"/>
  <c r="B7" i="10"/>
  <c r="C7" i="10" s="1"/>
  <c r="C13" i="7"/>
  <c r="G143" i="8"/>
  <c r="H8" i="8" l="1"/>
  <c r="I7" i="8"/>
  <c r="H9" i="8"/>
  <c r="H120" i="8"/>
  <c r="G10" i="8"/>
  <c r="G13" i="8" s="1"/>
  <c r="G14" i="8" s="1"/>
  <c r="J108" i="8"/>
  <c r="H119" i="8"/>
  <c r="I119" i="8" s="1"/>
  <c r="H137" i="8"/>
  <c r="I137" i="8"/>
  <c r="I112" i="8"/>
  <c r="J111" i="8"/>
  <c r="I118" i="8"/>
  <c r="J117" i="8"/>
  <c r="H138" i="8"/>
  <c r="L105" i="8"/>
  <c r="K106" i="8"/>
  <c r="I22" i="8"/>
  <c r="I25" i="8" s="1"/>
  <c r="I130" i="8"/>
  <c r="J129" i="8"/>
  <c r="I120" i="8"/>
  <c r="I100" i="8"/>
  <c r="J99" i="8"/>
  <c r="J135" i="8"/>
  <c r="I136" i="8"/>
  <c r="I95" i="8"/>
  <c r="H101" i="8"/>
  <c r="I142" i="8"/>
  <c r="I144" i="8" s="1"/>
  <c r="J141" i="8"/>
  <c r="J31" i="8"/>
  <c r="I33" i="8"/>
  <c r="I32" i="8"/>
  <c r="I94" i="8"/>
  <c r="J93" i="8"/>
  <c r="H131" i="8"/>
  <c r="H96" i="8"/>
  <c r="G39" i="8"/>
  <c r="H126" i="8"/>
  <c r="I126" i="8" s="1"/>
  <c r="H102" i="8"/>
  <c r="H132" i="8"/>
  <c r="H34" i="8"/>
  <c r="H37" i="8" s="1"/>
  <c r="H113" i="8"/>
  <c r="I113" i="8" s="1"/>
  <c r="J107" i="8"/>
  <c r="K107" i="8" s="1"/>
  <c r="H143" i="8"/>
  <c r="J21" i="8"/>
  <c r="J20" i="8"/>
  <c r="J22" i="8" s="1"/>
  <c r="J25" i="8" s="1"/>
  <c r="K19" i="8"/>
  <c r="H114" i="8"/>
  <c r="H125" i="8"/>
  <c r="I124" i="8"/>
  <c r="J123" i="8"/>
  <c r="I132" i="8" l="1"/>
  <c r="I9" i="8"/>
  <c r="J7" i="8"/>
  <c r="I8" i="8"/>
  <c r="I10" i="8" s="1"/>
  <c r="I13" i="8" s="1"/>
  <c r="G15" i="8"/>
  <c r="H10" i="8"/>
  <c r="H13" i="8" s="1"/>
  <c r="H14" i="8" s="1"/>
  <c r="I14" i="8" s="1"/>
  <c r="H39" i="8"/>
  <c r="J95" i="8"/>
  <c r="J124" i="8"/>
  <c r="K123" i="8"/>
  <c r="J33" i="8"/>
  <c r="J32" i="8"/>
  <c r="J34" i="8" s="1"/>
  <c r="J37" i="8" s="1"/>
  <c r="K31" i="8"/>
  <c r="M105" i="8"/>
  <c r="L106" i="8"/>
  <c r="L107" i="8" s="1"/>
  <c r="K108" i="8"/>
  <c r="I96" i="8"/>
  <c r="J142" i="8"/>
  <c r="J144" i="8" s="1"/>
  <c r="K141" i="8"/>
  <c r="I138" i="8"/>
  <c r="L19" i="8"/>
  <c r="K20" i="8"/>
  <c r="K21" i="8"/>
  <c r="I131" i="8"/>
  <c r="H38" i="8"/>
  <c r="K117" i="8"/>
  <c r="J118" i="8"/>
  <c r="J119" i="8" s="1"/>
  <c r="I114" i="8"/>
  <c r="I102" i="8"/>
  <c r="J94" i="8"/>
  <c r="K93" i="8"/>
  <c r="I101" i="8"/>
  <c r="K135" i="8"/>
  <c r="J136" i="8"/>
  <c r="K129" i="8"/>
  <c r="J130" i="8"/>
  <c r="J132" i="8" s="1"/>
  <c r="I125" i="8"/>
  <c r="J125" i="8" s="1"/>
  <c r="J112" i="8"/>
  <c r="J113" i="8" s="1"/>
  <c r="K111" i="8"/>
  <c r="J137" i="8"/>
  <c r="J126" i="8"/>
  <c r="I143" i="8"/>
  <c r="I34" i="8"/>
  <c r="I37" i="8" s="1"/>
  <c r="J100" i="8"/>
  <c r="K99" i="8"/>
  <c r="I27" i="8"/>
  <c r="I26" i="8"/>
  <c r="K22" i="8" l="1"/>
  <c r="K25" i="8" s="1"/>
  <c r="H15" i="8"/>
  <c r="I15" i="8" s="1"/>
  <c r="J138" i="8"/>
  <c r="J8" i="8"/>
  <c r="K7" i="8"/>
  <c r="J9" i="8"/>
  <c r="J120" i="8"/>
  <c r="M107" i="8"/>
  <c r="L117" i="8"/>
  <c r="K118" i="8"/>
  <c r="K119" i="8" s="1"/>
  <c r="I39" i="8"/>
  <c r="L20" i="8"/>
  <c r="M19" i="8"/>
  <c r="L21" i="8"/>
  <c r="J96" i="8"/>
  <c r="K96" i="8" s="1"/>
  <c r="K124" i="8"/>
  <c r="K126" i="8" s="1"/>
  <c r="L123" i="8"/>
  <c r="J101" i="8"/>
  <c r="N105" i="8"/>
  <c r="M106" i="8"/>
  <c r="J143" i="8"/>
  <c r="K143" i="8" s="1"/>
  <c r="K112" i="8"/>
  <c r="K113" i="8" s="1"/>
  <c r="L111" i="8"/>
  <c r="J102" i="8"/>
  <c r="I38" i="8"/>
  <c r="J38" i="8" s="1"/>
  <c r="K94" i="8"/>
  <c r="K95" i="8" s="1"/>
  <c r="L93" i="8"/>
  <c r="J131" i="8"/>
  <c r="K142" i="8"/>
  <c r="K144" i="8" s="1"/>
  <c r="L141" i="8"/>
  <c r="L31" i="8"/>
  <c r="K32" i="8"/>
  <c r="K33" i="8"/>
  <c r="L108" i="8"/>
  <c r="J26" i="8"/>
  <c r="K26" i="8" s="1"/>
  <c r="L129" i="8"/>
  <c r="K130" i="8"/>
  <c r="K132" i="8" s="1"/>
  <c r="J114" i="8"/>
  <c r="K100" i="8"/>
  <c r="L99" i="8"/>
  <c r="J27" i="8"/>
  <c r="K27" i="8" s="1"/>
  <c r="K136" i="8"/>
  <c r="K138" i="8" s="1"/>
  <c r="L135" i="8"/>
  <c r="J10" i="8" l="1"/>
  <c r="J13" i="8" s="1"/>
  <c r="K125" i="8"/>
  <c r="M108" i="8"/>
  <c r="L7" i="8"/>
  <c r="K8" i="8"/>
  <c r="K10" i="8" s="1"/>
  <c r="K13" i="8" s="1"/>
  <c r="K9" i="8"/>
  <c r="K34" i="8"/>
  <c r="K37" i="8" s="1"/>
  <c r="L132" i="8"/>
  <c r="L142" i="8"/>
  <c r="L144" i="8" s="1"/>
  <c r="M141" i="8"/>
  <c r="K137" i="8"/>
  <c r="N19" i="8"/>
  <c r="M21" i="8"/>
  <c r="M20" i="8"/>
  <c r="M22" i="8" s="1"/>
  <c r="M25" i="8" s="1"/>
  <c r="N106" i="8"/>
  <c r="N108" i="8" s="1"/>
  <c r="O105" i="8"/>
  <c r="L112" i="8"/>
  <c r="L113" i="8" s="1"/>
  <c r="M111" i="8"/>
  <c r="L94" i="8"/>
  <c r="L95" i="8" s="1"/>
  <c r="M93" i="8"/>
  <c r="K131" i="8"/>
  <c r="L125" i="8"/>
  <c r="J39" i="8"/>
  <c r="L136" i="8"/>
  <c r="L138" i="8" s="1"/>
  <c r="M135" i="8"/>
  <c r="K101" i="8"/>
  <c r="L101" i="8" s="1"/>
  <c r="K38" i="8"/>
  <c r="K114" i="8"/>
  <c r="M31" i="8"/>
  <c r="L33" i="8"/>
  <c r="L32" i="8"/>
  <c r="L22" i="8"/>
  <c r="L25" i="8" s="1"/>
  <c r="L130" i="8"/>
  <c r="M129" i="8"/>
  <c r="K120" i="8"/>
  <c r="L124" i="8"/>
  <c r="L126" i="8" s="1"/>
  <c r="M123" i="8"/>
  <c r="L118" i="8"/>
  <c r="L119" i="8" s="1"/>
  <c r="M117" i="8"/>
  <c r="L96" i="8"/>
  <c r="L100" i="8"/>
  <c r="M99" i="8"/>
  <c r="K102" i="8"/>
  <c r="L9" i="8" l="1"/>
  <c r="L8" i="8"/>
  <c r="L10" i="8" s="1"/>
  <c r="L13" i="8" s="1"/>
  <c r="M7" i="8"/>
  <c r="L143" i="8"/>
  <c r="N107" i="8"/>
  <c r="K39" i="8"/>
  <c r="J14" i="8"/>
  <c r="K14" i="8" s="1"/>
  <c r="L14" i="8" s="1"/>
  <c r="J15" i="8"/>
  <c r="L120" i="8"/>
  <c r="L137" i="8"/>
  <c r="M137" i="8" s="1"/>
  <c r="O106" i="8"/>
  <c r="O108" i="8" s="1"/>
  <c r="P105" i="8"/>
  <c r="L114" i="8"/>
  <c r="L131" i="8"/>
  <c r="M33" i="8"/>
  <c r="M32" i="8"/>
  <c r="N31" i="8"/>
  <c r="M130" i="8"/>
  <c r="M132" i="8" s="1"/>
  <c r="N129" i="8"/>
  <c r="M142" i="8"/>
  <c r="N141" i="8"/>
  <c r="M118" i="8"/>
  <c r="M119" i="8" s="1"/>
  <c r="N117" i="8"/>
  <c r="O107" i="8"/>
  <c r="L102" i="8"/>
  <c r="M136" i="8"/>
  <c r="M138" i="8" s="1"/>
  <c r="N135" i="8"/>
  <c r="L26" i="8"/>
  <c r="M94" i="8"/>
  <c r="M95" i="8" s="1"/>
  <c r="N93" i="8"/>
  <c r="M100" i="8"/>
  <c r="M101" i="8" s="1"/>
  <c r="N99" i="8"/>
  <c r="M124" i="8"/>
  <c r="M125" i="8" s="1"/>
  <c r="N123" i="8"/>
  <c r="L34" i="8"/>
  <c r="L37" i="8" s="1"/>
  <c r="L27" i="8"/>
  <c r="M112" i="8"/>
  <c r="M113" i="8" s="1"/>
  <c r="N111" i="8"/>
  <c r="O19" i="8"/>
  <c r="N21" i="8"/>
  <c r="N20" i="8"/>
  <c r="N22" i="8" s="1"/>
  <c r="N25" i="8" s="1"/>
  <c r="K15" i="8" l="1"/>
  <c r="L15" i="8" s="1"/>
  <c r="B48" i="8"/>
  <c r="L39" i="8"/>
  <c r="M126" i="8"/>
  <c r="M96" i="8"/>
  <c r="N96" i="8" s="1"/>
  <c r="N7" i="8"/>
  <c r="M8" i="8"/>
  <c r="M9" i="8"/>
  <c r="M120" i="8"/>
  <c r="M143" i="8"/>
  <c r="M131" i="8"/>
  <c r="M144" i="8"/>
  <c r="N94" i="8"/>
  <c r="N95" i="8" s="1"/>
  <c r="O93" i="8"/>
  <c r="P19" i="8"/>
  <c r="O21" i="8"/>
  <c r="O20" i="8"/>
  <c r="N112" i="8"/>
  <c r="N113" i="8" s="1"/>
  <c r="O111" i="8"/>
  <c r="L38" i="8"/>
  <c r="M26" i="8"/>
  <c r="N26" i="8" s="1"/>
  <c r="N130" i="8"/>
  <c r="N131" i="8" s="1"/>
  <c r="O129" i="8"/>
  <c r="N118" i="8"/>
  <c r="N119" i="8" s="1"/>
  <c r="O117" i="8"/>
  <c r="O99" i="8"/>
  <c r="N100" i="8"/>
  <c r="N101" i="8" s="1"/>
  <c r="O31" i="8"/>
  <c r="N32" i="8"/>
  <c r="N34" i="8" s="1"/>
  <c r="N37" i="8" s="1"/>
  <c r="N33" i="8"/>
  <c r="N124" i="8"/>
  <c r="N126" i="8" s="1"/>
  <c r="O123" i="8"/>
  <c r="M34" i="8"/>
  <c r="M37" i="8" s="1"/>
  <c r="M39" i="8" s="1"/>
  <c r="P106" i="8"/>
  <c r="P107" i="8" s="1"/>
  <c r="Q105" i="8"/>
  <c r="M102" i="8"/>
  <c r="N136" i="8"/>
  <c r="N138" i="8" s="1"/>
  <c r="O135" i="8"/>
  <c r="M114" i="8"/>
  <c r="M27" i="8"/>
  <c r="N27" i="8" s="1"/>
  <c r="O141" i="8"/>
  <c r="N142" i="8"/>
  <c r="N143" i="8" s="1"/>
  <c r="M10" i="8" l="1"/>
  <c r="M13" i="8" s="1"/>
  <c r="N9" i="8"/>
  <c r="O7" i="8"/>
  <c r="N8" i="8"/>
  <c r="N10" i="8" s="1"/>
  <c r="N13" i="8" s="1"/>
  <c r="N120" i="8"/>
  <c r="N125" i="8"/>
  <c r="N39" i="8"/>
  <c r="N114" i="8"/>
  <c r="M38" i="8"/>
  <c r="N38" i="8" s="1"/>
  <c r="P123" i="8"/>
  <c r="O124" i="8"/>
  <c r="O126" i="8" s="1"/>
  <c r="O94" i="8"/>
  <c r="O95" i="8" s="1"/>
  <c r="P93" i="8"/>
  <c r="P108" i="8"/>
  <c r="N132" i="8"/>
  <c r="P111" i="8"/>
  <c r="O112" i="8"/>
  <c r="O113" i="8" s="1"/>
  <c r="P141" i="8"/>
  <c r="O142" i="8"/>
  <c r="O143" i="8" s="1"/>
  <c r="N102" i="8"/>
  <c r="O100" i="8"/>
  <c r="O101" i="8" s="1"/>
  <c r="P99" i="8"/>
  <c r="N144" i="8"/>
  <c r="O144" i="8" s="1"/>
  <c r="P135" i="8"/>
  <c r="O136" i="8"/>
  <c r="O138" i="8" s="1"/>
  <c r="P21" i="8"/>
  <c r="P20" i="8"/>
  <c r="Q19" i="8"/>
  <c r="O118" i="8"/>
  <c r="P117" i="8"/>
  <c r="O125" i="8"/>
  <c r="N137" i="8"/>
  <c r="O33" i="8"/>
  <c r="O32" i="8"/>
  <c r="O34" i="8" s="1"/>
  <c r="O37" i="8" s="1"/>
  <c r="P31" i="8"/>
  <c r="Q106" i="8"/>
  <c r="Q107" i="8" s="1"/>
  <c r="R105" i="8"/>
  <c r="O130" i="8"/>
  <c r="O131" i="8" s="1"/>
  <c r="P129" i="8"/>
  <c r="O22" i="8"/>
  <c r="O25" i="8" s="1"/>
  <c r="O26" i="8" s="1"/>
  <c r="O8" i="8" l="1"/>
  <c r="P7" i="8"/>
  <c r="O9" i="8"/>
  <c r="O39" i="8"/>
  <c r="O120" i="8"/>
  <c r="P22" i="8"/>
  <c r="P25" i="8" s="1"/>
  <c r="P26" i="8" s="1"/>
  <c r="M15" i="8"/>
  <c r="N15" i="8" s="1"/>
  <c r="M14" i="8"/>
  <c r="N14" i="8" s="1"/>
  <c r="Q135" i="8"/>
  <c r="P136" i="8"/>
  <c r="P138" i="8" s="1"/>
  <c r="P130" i="8"/>
  <c r="P131" i="8" s="1"/>
  <c r="Q129" i="8"/>
  <c r="Q111" i="8"/>
  <c r="P112" i="8"/>
  <c r="P113" i="8" s="1"/>
  <c r="O119" i="8"/>
  <c r="P100" i="8"/>
  <c r="P101" i="8" s="1"/>
  <c r="Q99" i="8"/>
  <c r="O96" i="8"/>
  <c r="P96" i="8" s="1"/>
  <c r="P33" i="8"/>
  <c r="P32" i="8"/>
  <c r="P34" i="8" s="1"/>
  <c r="P37" i="8" s="1"/>
  <c r="Q31" i="8"/>
  <c r="Q117" i="8"/>
  <c r="P118" i="8"/>
  <c r="P120" i="8" s="1"/>
  <c r="O137" i="8"/>
  <c r="P137" i="8" s="1"/>
  <c r="Q123" i="8"/>
  <c r="P124" i="8"/>
  <c r="P126" i="8" s="1"/>
  <c r="P142" i="8"/>
  <c r="P143" i="8" s="1"/>
  <c r="Q141" i="8"/>
  <c r="P125" i="8"/>
  <c r="O102" i="8"/>
  <c r="Q108" i="8"/>
  <c r="O38" i="8"/>
  <c r="P38" i="8" s="1"/>
  <c r="R106" i="8"/>
  <c r="R107" i="8" s="1"/>
  <c r="S105" i="8"/>
  <c r="O27" i="8"/>
  <c r="R19" i="8"/>
  <c r="Q21" i="8"/>
  <c r="Q20" i="8"/>
  <c r="O132" i="8"/>
  <c r="O114" i="8"/>
  <c r="Q93" i="8"/>
  <c r="P94" i="8"/>
  <c r="P95" i="8" s="1"/>
  <c r="P39" i="8" l="1"/>
  <c r="Q7" i="8"/>
  <c r="P8" i="8"/>
  <c r="P9" i="8"/>
  <c r="P27" i="8"/>
  <c r="O10" i="8"/>
  <c r="O13" i="8" s="1"/>
  <c r="O15" i="8" s="1"/>
  <c r="Q138" i="8"/>
  <c r="Q125" i="8"/>
  <c r="Q142" i="8"/>
  <c r="Q143" i="8" s="1"/>
  <c r="R141" i="8"/>
  <c r="R111" i="8"/>
  <c r="Q112" i="8"/>
  <c r="Q113" i="8" s="1"/>
  <c r="P144" i="8"/>
  <c r="R117" i="8"/>
  <c r="Q118" i="8"/>
  <c r="Q120" i="8" s="1"/>
  <c r="S19" i="8"/>
  <c r="R21" i="8"/>
  <c r="R20" i="8"/>
  <c r="Q100" i="8"/>
  <c r="Q101" i="8" s="1"/>
  <c r="R99" i="8"/>
  <c r="T105" i="8"/>
  <c r="S106" i="8"/>
  <c r="S107" i="8" s="1"/>
  <c r="R93" i="8"/>
  <c r="Q94" i="8"/>
  <c r="Q96" i="8" s="1"/>
  <c r="Q32" i="8"/>
  <c r="R31" i="8"/>
  <c r="Q33" i="8"/>
  <c r="Q124" i="8"/>
  <c r="Q126" i="8" s="1"/>
  <c r="R123" i="8"/>
  <c r="Q130" i="8"/>
  <c r="Q131" i="8" s="1"/>
  <c r="R129" i="8"/>
  <c r="Q22" i="8"/>
  <c r="Q25" i="8" s="1"/>
  <c r="Q26" i="8" s="1"/>
  <c r="P102" i="8"/>
  <c r="Q136" i="8"/>
  <c r="Q137" i="8" s="1"/>
  <c r="R135" i="8"/>
  <c r="P114" i="8"/>
  <c r="Q114" i="8" s="1"/>
  <c r="P119" i="8"/>
  <c r="Q119" i="8" s="1"/>
  <c r="P132" i="8"/>
  <c r="R108" i="8"/>
  <c r="O14" i="8" l="1"/>
  <c r="P10" i="8"/>
  <c r="P13" i="8" s="1"/>
  <c r="P15" i="8" s="1"/>
  <c r="Q95" i="8"/>
  <c r="Q9" i="8"/>
  <c r="R7" i="8"/>
  <c r="Q8" i="8"/>
  <c r="Q10" i="8" s="1"/>
  <c r="Q13" i="8" s="1"/>
  <c r="Q144" i="8"/>
  <c r="S108" i="8"/>
  <c r="R22" i="8"/>
  <c r="R25" i="8" s="1"/>
  <c r="R113" i="8"/>
  <c r="R101" i="8"/>
  <c r="R130" i="8"/>
  <c r="R131" i="8" s="1"/>
  <c r="S129" i="8"/>
  <c r="S111" i="8"/>
  <c r="R112" i="8"/>
  <c r="R114" i="8" s="1"/>
  <c r="R100" i="8"/>
  <c r="S99" i="8"/>
  <c r="R142" i="8"/>
  <c r="R143" i="8" s="1"/>
  <c r="S141" i="8"/>
  <c r="Q102" i="8"/>
  <c r="R32" i="8"/>
  <c r="S31" i="8"/>
  <c r="R33" i="8"/>
  <c r="R136" i="8"/>
  <c r="R138" i="8" s="1"/>
  <c r="S135" i="8"/>
  <c r="Q27" i="8"/>
  <c r="R27" i="8" s="1"/>
  <c r="S21" i="8"/>
  <c r="S20" i="8"/>
  <c r="T19" i="8"/>
  <c r="R124" i="8"/>
  <c r="R126" i="8" s="1"/>
  <c r="S123" i="8"/>
  <c r="Q34" i="8"/>
  <c r="Q37" i="8" s="1"/>
  <c r="R26" i="8"/>
  <c r="S93" i="8"/>
  <c r="R94" i="8"/>
  <c r="R96" i="8" s="1"/>
  <c r="Q132" i="8"/>
  <c r="T106" i="8"/>
  <c r="T108" i="8" s="1"/>
  <c r="U105" i="8"/>
  <c r="R118" i="8"/>
  <c r="R120" i="8" s="1"/>
  <c r="S117" i="8"/>
  <c r="Q15" i="8" l="1"/>
  <c r="S7" i="8"/>
  <c r="R8" i="8"/>
  <c r="R9" i="8"/>
  <c r="R119" i="8"/>
  <c r="P14" i="8"/>
  <c r="Q14" i="8" s="1"/>
  <c r="R132" i="8"/>
  <c r="S120" i="8"/>
  <c r="Q39" i="8"/>
  <c r="Q38" i="8"/>
  <c r="R144" i="8"/>
  <c r="S142" i="8"/>
  <c r="S143" i="8" s="1"/>
  <c r="T141" i="8"/>
  <c r="S113" i="8"/>
  <c r="U106" i="8"/>
  <c r="U108" i="8" s="1"/>
  <c r="V105" i="8"/>
  <c r="S100" i="8"/>
  <c r="S101" i="8" s="1"/>
  <c r="T99" i="8"/>
  <c r="R125" i="8"/>
  <c r="R95" i="8"/>
  <c r="R137" i="8"/>
  <c r="S137" i="8" s="1"/>
  <c r="S119" i="8"/>
  <c r="R102" i="8"/>
  <c r="S118" i="8"/>
  <c r="T117" i="8"/>
  <c r="T93" i="8"/>
  <c r="S94" i="8"/>
  <c r="S96" i="8" s="1"/>
  <c r="T21" i="8"/>
  <c r="U19" i="8"/>
  <c r="T20" i="8"/>
  <c r="T31" i="8"/>
  <c r="S33" i="8"/>
  <c r="S32" i="8"/>
  <c r="S34" i="8" s="1"/>
  <c r="S37" i="8" s="1"/>
  <c r="S112" i="8"/>
  <c r="S114" i="8" s="1"/>
  <c r="T111" i="8"/>
  <c r="S124" i="8"/>
  <c r="S126" i="8" s="1"/>
  <c r="T123" i="8"/>
  <c r="T107" i="8"/>
  <c r="S136" i="8"/>
  <c r="S138" i="8" s="1"/>
  <c r="T135" i="8"/>
  <c r="S22" i="8"/>
  <c r="S25" i="8" s="1"/>
  <c r="S26" i="8" s="1"/>
  <c r="R34" i="8"/>
  <c r="R37" i="8" s="1"/>
  <c r="S130" i="8"/>
  <c r="S132" i="8" s="1"/>
  <c r="T129" i="8"/>
  <c r="S144" i="8" l="1"/>
  <c r="R10" i="8"/>
  <c r="R13" i="8" s="1"/>
  <c r="R14" i="8" s="1"/>
  <c r="T7" i="8"/>
  <c r="S8" i="8"/>
  <c r="S9" i="8"/>
  <c r="R15" i="8"/>
  <c r="T132" i="8"/>
  <c r="T124" i="8"/>
  <c r="T126" i="8" s="1"/>
  <c r="U123" i="8"/>
  <c r="U21" i="8"/>
  <c r="U20" i="8"/>
  <c r="V19" i="8"/>
  <c r="T119" i="8"/>
  <c r="S125" i="8"/>
  <c r="T125" i="8" s="1"/>
  <c r="S131" i="8"/>
  <c r="T143" i="8"/>
  <c r="T112" i="8"/>
  <c r="T113" i="8" s="1"/>
  <c r="U111" i="8"/>
  <c r="U141" i="8"/>
  <c r="T142" i="8"/>
  <c r="T100" i="8"/>
  <c r="T101" i="8" s="1"/>
  <c r="U99" i="8"/>
  <c r="R38" i="8"/>
  <c r="S38" i="8" s="1"/>
  <c r="T136" i="8"/>
  <c r="T137" i="8" s="1"/>
  <c r="U135" i="8"/>
  <c r="T94" i="8"/>
  <c r="T96" i="8" s="1"/>
  <c r="U93" i="8"/>
  <c r="T118" i="8"/>
  <c r="T120" i="8" s="1"/>
  <c r="U117" i="8"/>
  <c r="U31" i="8"/>
  <c r="T33" i="8"/>
  <c r="T32" i="8"/>
  <c r="T34" i="8" s="1"/>
  <c r="T37" i="8" s="1"/>
  <c r="S102" i="8"/>
  <c r="T102" i="8" s="1"/>
  <c r="S27" i="8"/>
  <c r="R39" i="8"/>
  <c r="S39" i="8" s="1"/>
  <c r="S95" i="8"/>
  <c r="U129" i="8"/>
  <c r="T130" i="8"/>
  <c r="T144" i="8"/>
  <c r="U107" i="8"/>
  <c r="T22" i="8"/>
  <c r="T25" i="8" s="1"/>
  <c r="T26" i="8" s="1"/>
  <c r="V106" i="8"/>
  <c r="V108" i="8" s="1"/>
  <c r="W105" i="8"/>
  <c r="S10" i="8" l="1"/>
  <c r="S13" i="8" s="1"/>
  <c r="S15" i="8" s="1"/>
  <c r="T95" i="8"/>
  <c r="T9" i="8"/>
  <c r="U7" i="8"/>
  <c r="T8" i="8"/>
  <c r="T10" i="8" s="1"/>
  <c r="T13" i="8" s="1"/>
  <c r="T15" i="8" s="1"/>
  <c r="U102" i="8"/>
  <c r="W19" i="8"/>
  <c r="V20" i="8"/>
  <c r="V21" i="8"/>
  <c r="T38" i="8"/>
  <c r="T131" i="8"/>
  <c r="U131" i="8" s="1"/>
  <c r="U22" i="8"/>
  <c r="U25" i="8" s="1"/>
  <c r="U26" i="8" s="1"/>
  <c r="T138" i="8"/>
  <c r="U138" i="8" s="1"/>
  <c r="U33" i="8"/>
  <c r="U32" i="8"/>
  <c r="V31" i="8"/>
  <c r="T114" i="8"/>
  <c r="U118" i="8"/>
  <c r="U119" i="8" s="1"/>
  <c r="V117" i="8"/>
  <c r="V123" i="8"/>
  <c r="U124" i="8"/>
  <c r="U126" i="8" s="1"/>
  <c r="V99" i="8"/>
  <c r="U100" i="8"/>
  <c r="U101" i="8" s="1"/>
  <c r="U136" i="8"/>
  <c r="U137" i="8" s="1"/>
  <c r="V135" i="8"/>
  <c r="T39" i="8"/>
  <c r="V129" i="8"/>
  <c r="U130" i="8"/>
  <c r="U132" i="8" s="1"/>
  <c r="W106" i="8"/>
  <c r="W108" i="8" s="1"/>
  <c r="X105" i="8"/>
  <c r="U94" i="8"/>
  <c r="U95" i="8" s="1"/>
  <c r="V93" i="8"/>
  <c r="V141" i="8"/>
  <c r="U142" i="8"/>
  <c r="U144" i="8" s="1"/>
  <c r="V107" i="8"/>
  <c r="T27" i="8"/>
  <c r="U112" i="8"/>
  <c r="U113" i="8" s="1"/>
  <c r="V111" i="8"/>
  <c r="U9" i="8" l="1"/>
  <c r="V7" i="8"/>
  <c r="U8" i="8"/>
  <c r="U10" i="8" s="1"/>
  <c r="U13" i="8" s="1"/>
  <c r="U15" i="8" s="1"/>
  <c r="U96" i="8"/>
  <c r="U39" i="8"/>
  <c r="U125" i="8"/>
  <c r="U38" i="8"/>
  <c r="V38" i="8" s="1"/>
  <c r="U114" i="8"/>
  <c r="U34" i="8"/>
  <c r="U37" i="8" s="1"/>
  <c r="S14" i="8"/>
  <c r="T14" i="8" s="1"/>
  <c r="V136" i="8"/>
  <c r="V137" i="8" s="1"/>
  <c r="W135" i="8"/>
  <c r="W31" i="8"/>
  <c r="V33" i="8"/>
  <c r="V32" i="8"/>
  <c r="V34" i="8" s="1"/>
  <c r="V37" i="8" s="1"/>
  <c r="V138" i="8"/>
  <c r="V114" i="8"/>
  <c r="U120" i="8"/>
  <c r="X106" i="8"/>
  <c r="X108" i="8" s="1"/>
  <c r="Y105" i="8"/>
  <c r="U143" i="8"/>
  <c r="V22" i="8"/>
  <c r="V25" i="8" s="1"/>
  <c r="V26" i="8" s="1"/>
  <c r="V118" i="8"/>
  <c r="V119" i="8" s="1"/>
  <c r="W117" i="8"/>
  <c r="V96" i="8"/>
  <c r="V100" i="8"/>
  <c r="V101" i="8" s="1"/>
  <c r="W99" i="8"/>
  <c r="V112" i="8"/>
  <c r="V113" i="8" s="1"/>
  <c r="W111" i="8"/>
  <c r="U27" i="8"/>
  <c r="V27" i="8" s="1"/>
  <c r="X19" i="8"/>
  <c r="W21" i="8"/>
  <c r="W20" i="8"/>
  <c r="V142" i="8"/>
  <c r="V144" i="8" s="1"/>
  <c r="W141" i="8"/>
  <c r="V94" i="8"/>
  <c r="V95" i="8" s="1"/>
  <c r="W93" i="8"/>
  <c r="V39" i="8"/>
  <c r="W107" i="8"/>
  <c r="X107" i="8" s="1"/>
  <c r="V130" i="8"/>
  <c r="V132" i="8" s="1"/>
  <c r="W129" i="8"/>
  <c r="W123" i="8"/>
  <c r="V124" i="8"/>
  <c r="V126" i="8" s="1"/>
  <c r="U14" i="8" l="1"/>
  <c r="V8" i="8"/>
  <c r="W7" i="8"/>
  <c r="V9" i="8"/>
  <c r="W22" i="8"/>
  <c r="W25" i="8" s="1"/>
  <c r="W26" i="8" s="1"/>
  <c r="V131" i="8"/>
  <c r="V120" i="8"/>
  <c r="W120" i="8" s="1"/>
  <c r="W94" i="8"/>
  <c r="W95" i="8" s="1"/>
  <c r="X93" i="8"/>
  <c r="V102" i="8"/>
  <c r="V125" i="8"/>
  <c r="W136" i="8"/>
  <c r="W137" i="8" s="1"/>
  <c r="X135" i="8"/>
  <c r="X21" i="8"/>
  <c r="X20" i="8"/>
  <c r="Y19" i="8"/>
  <c r="W124" i="8"/>
  <c r="W126" i="8" s="1"/>
  <c r="X123" i="8"/>
  <c r="W112" i="8"/>
  <c r="W114" i="8" s="1"/>
  <c r="X111" i="8"/>
  <c r="W118" i="8"/>
  <c r="W119" i="8" s="1"/>
  <c r="X117" i="8"/>
  <c r="W142" i="8"/>
  <c r="W144" i="8" s="1"/>
  <c r="X141" i="8"/>
  <c r="W130" i="8"/>
  <c r="W131" i="8" s="1"/>
  <c r="X129" i="8"/>
  <c r="V143" i="8"/>
  <c r="W32" i="8"/>
  <c r="X31" i="8"/>
  <c r="W33" i="8"/>
  <c r="X99" i="8"/>
  <c r="W100" i="8"/>
  <c r="W101" i="8" s="1"/>
  <c r="Y106" i="8"/>
  <c r="Y107" i="8" s="1"/>
  <c r="Z107" i="8" s="1"/>
  <c r="F59" i="8" s="1"/>
  <c r="Z105" i="8"/>
  <c r="Z106" i="8" s="1"/>
  <c r="D59" i="8" s="1"/>
  <c r="W102" i="8" l="1"/>
  <c r="W138" i="8"/>
  <c r="W9" i="8"/>
  <c r="W8" i="8"/>
  <c r="W10" i="8" s="1"/>
  <c r="W13" i="8" s="1"/>
  <c r="X7" i="8"/>
  <c r="V10" i="8"/>
  <c r="V13" i="8" s="1"/>
  <c r="W143" i="8"/>
  <c r="W27" i="8"/>
  <c r="W113" i="8"/>
  <c r="X114" i="8"/>
  <c r="X144" i="8"/>
  <c r="X113" i="8"/>
  <c r="Y99" i="8"/>
  <c r="X100" i="8"/>
  <c r="X101" i="8" s="1"/>
  <c r="X143" i="8"/>
  <c r="X130" i="8"/>
  <c r="X131" i="8" s="1"/>
  <c r="Y129" i="8"/>
  <c r="Y108" i="8"/>
  <c r="Z108" i="8" s="1"/>
  <c r="G59" i="8" s="1"/>
  <c r="X94" i="8"/>
  <c r="X95" i="8" s="1"/>
  <c r="Y93" i="8"/>
  <c r="X120" i="8"/>
  <c r="X137" i="8"/>
  <c r="Y111" i="8"/>
  <c r="X112" i="8"/>
  <c r="X118" i="8"/>
  <c r="X119" i="8" s="1"/>
  <c r="Y117" i="8"/>
  <c r="W125" i="8"/>
  <c r="Y31" i="8"/>
  <c r="X33" i="8"/>
  <c r="X32" i="8"/>
  <c r="X34" i="8" s="1"/>
  <c r="X37" i="8" s="1"/>
  <c r="Z19" i="8"/>
  <c r="Y20" i="8"/>
  <c r="Y21" i="8"/>
  <c r="W132" i="8"/>
  <c r="X132" i="8" s="1"/>
  <c r="X102" i="8"/>
  <c r="X142" i="8"/>
  <c r="Y141" i="8"/>
  <c r="X136" i="8"/>
  <c r="X138" i="8" s="1"/>
  <c r="Y135" i="8"/>
  <c r="X124" i="8"/>
  <c r="X126" i="8" s="1"/>
  <c r="Y123" i="8"/>
  <c r="W34" i="8"/>
  <c r="W37" i="8" s="1"/>
  <c r="X22" i="8"/>
  <c r="X25" i="8" s="1"/>
  <c r="X26" i="8" s="1"/>
  <c r="W96" i="8"/>
  <c r="X125" i="8" l="1"/>
  <c r="V14" i="8"/>
  <c r="W14" i="8" s="1"/>
  <c r="V15" i="8"/>
  <c r="W15" i="8" s="1"/>
  <c r="X8" i="8"/>
  <c r="X9" i="8"/>
  <c r="Y7" i="8"/>
  <c r="Y119" i="8"/>
  <c r="Y138" i="8"/>
  <c r="W38" i="8"/>
  <c r="X38" i="8" s="1"/>
  <c r="W39" i="8"/>
  <c r="X39" i="8" s="1"/>
  <c r="Y124" i="8"/>
  <c r="Y126" i="8" s="1"/>
  <c r="Z123" i="8"/>
  <c r="Z124" i="8" s="1"/>
  <c r="D62" i="8" s="1"/>
  <c r="Y130" i="8"/>
  <c r="Y131" i="8" s="1"/>
  <c r="Z129" i="8"/>
  <c r="Z130" i="8" s="1"/>
  <c r="D63" i="8" s="1"/>
  <c r="Y125" i="8"/>
  <c r="Z125" i="8" s="1"/>
  <c r="F62" i="8" s="1"/>
  <c r="Y120" i="8"/>
  <c r="Z120" i="8" s="1"/>
  <c r="G61" i="8" s="1"/>
  <c r="Z135" i="8"/>
  <c r="Z136" i="8" s="1"/>
  <c r="Y136" i="8"/>
  <c r="Y94" i="8"/>
  <c r="Z93" i="8"/>
  <c r="Z94" i="8" s="1"/>
  <c r="D57" i="8" s="1"/>
  <c r="Y144" i="8"/>
  <c r="Y95" i="8"/>
  <c r="Z95" i="8" s="1"/>
  <c r="F57" i="8" s="1"/>
  <c r="Y102" i="8"/>
  <c r="Y132" i="8"/>
  <c r="Z132" i="8" s="1"/>
  <c r="G63" i="8" s="1"/>
  <c r="Y118" i="8"/>
  <c r="Z117" i="8"/>
  <c r="Z118" i="8" s="1"/>
  <c r="D61" i="8" s="1"/>
  <c r="C49" i="8"/>
  <c r="Z20" i="8"/>
  <c r="Z21" i="8"/>
  <c r="Y143" i="8"/>
  <c r="Z143" i="8" s="1"/>
  <c r="F68" i="8" s="1"/>
  <c r="Y142" i="8"/>
  <c r="Z141" i="8"/>
  <c r="Z142" i="8" s="1"/>
  <c r="D68" i="8" s="1"/>
  <c r="Y100" i="8"/>
  <c r="Y101" i="8" s="1"/>
  <c r="Z99" i="8"/>
  <c r="Z100" i="8" s="1"/>
  <c r="D58" i="8" s="1"/>
  <c r="Y112" i="8"/>
  <c r="Y114" i="8" s="1"/>
  <c r="Z111" i="8"/>
  <c r="Z112" i="8" s="1"/>
  <c r="Y137" i="8"/>
  <c r="Y22" i="8"/>
  <c r="Y25" i="8" s="1"/>
  <c r="Y26" i="8" s="1"/>
  <c r="X96" i="8"/>
  <c r="Y96" i="8" s="1"/>
  <c r="Y33" i="8"/>
  <c r="Z31" i="8"/>
  <c r="Y32" i="8"/>
  <c r="Y34" i="8" s="1"/>
  <c r="Y37" i="8" s="1"/>
  <c r="X27" i="8"/>
  <c r="Y27" i="8" s="1"/>
  <c r="Z131" i="8" l="1"/>
  <c r="F63" i="8" s="1"/>
  <c r="X10" i="8"/>
  <c r="X13" i="8" s="1"/>
  <c r="Z114" i="8"/>
  <c r="G60" i="8" s="1"/>
  <c r="X15" i="8"/>
  <c r="Z101" i="8"/>
  <c r="F58" i="8" s="1"/>
  <c r="E68" i="8"/>
  <c r="Y39" i="8"/>
  <c r="X14" i="8"/>
  <c r="Y8" i="8"/>
  <c r="Z7" i="8"/>
  <c r="Y9" i="8"/>
  <c r="Z96" i="8"/>
  <c r="G57" i="8" s="1"/>
  <c r="Z126" i="8"/>
  <c r="G62" i="8" s="1"/>
  <c r="D64" i="8"/>
  <c r="C76" i="8" s="1"/>
  <c r="D76" i="8" s="1"/>
  <c r="Z102" i="8"/>
  <c r="G58" i="8" s="1"/>
  <c r="Y38" i="8"/>
  <c r="Y113" i="8"/>
  <c r="Z113" i="8" s="1"/>
  <c r="F60" i="8" s="1"/>
  <c r="Z138" i="8"/>
  <c r="G64" i="8" s="1"/>
  <c r="Z144" i="8"/>
  <c r="G68" i="8" s="1"/>
  <c r="E63" i="8"/>
  <c r="Z119" i="8"/>
  <c r="F61" i="8" s="1"/>
  <c r="C75" i="8"/>
  <c r="D75" i="8" s="1"/>
  <c r="C74" i="8"/>
  <c r="C72" i="8"/>
  <c r="C73" i="8"/>
  <c r="D73" i="8" s="1"/>
  <c r="E59" i="8"/>
  <c r="E58" i="8"/>
  <c r="B66" i="8"/>
  <c r="B12" i="10" s="1"/>
  <c r="C12" i="10" s="1"/>
  <c r="Z33" i="8"/>
  <c r="D49" i="8"/>
  <c r="Z32" i="8"/>
  <c r="C50" i="8"/>
  <c r="Z22" i="8"/>
  <c r="Z25" i="8" s="1"/>
  <c r="Z27" i="8" s="1"/>
  <c r="C48" i="8" s="1"/>
  <c r="E61" i="8"/>
  <c r="H61" i="8"/>
  <c r="E62" i="8"/>
  <c r="Z137" i="8"/>
  <c r="F64" i="8" s="1"/>
  <c r="D60" i="8"/>
  <c r="Z9" i="8" l="1"/>
  <c r="Z8" i="8"/>
  <c r="B49" i="8"/>
  <c r="E64" i="8"/>
  <c r="Y10" i="8"/>
  <c r="Y13" i="8" s="1"/>
  <c r="Y15" i="8" s="1"/>
  <c r="E60" i="8"/>
  <c r="H60" i="8"/>
  <c r="H58" i="8"/>
  <c r="H64" i="8"/>
  <c r="D72" i="8"/>
  <c r="C77" i="8"/>
  <c r="D77" i="8" s="1"/>
  <c r="H62" i="8"/>
  <c r="D74" i="8"/>
  <c r="E74" i="8"/>
  <c r="C44" i="8"/>
  <c r="B11" i="10" s="1"/>
  <c r="C11" i="10" s="1"/>
  <c r="C45" i="8"/>
  <c r="H63" i="8"/>
  <c r="D50" i="8"/>
  <c r="Z34" i="8"/>
  <c r="Z37" i="8" s="1"/>
  <c r="H59" i="8"/>
  <c r="Z26" i="8"/>
  <c r="Z10" i="8" l="1"/>
  <c r="Z13" i="8" s="1"/>
  <c r="Z15" i="8" s="1"/>
  <c r="B50" i="8"/>
  <c r="Y14" i="8"/>
  <c r="Z14" i="8" s="1"/>
  <c r="C46" i="8"/>
  <c r="C47" i="8"/>
  <c r="D45" i="8"/>
  <c r="D44" i="8"/>
  <c r="Z39" i="8"/>
  <c r="D48" i="8" s="1"/>
  <c r="Z38" i="8"/>
  <c r="B45" i="8" l="1"/>
  <c r="B44" i="8"/>
  <c r="B47" i="8"/>
  <c r="B46" i="8"/>
  <c r="D47" i="8"/>
  <c r="B10" i="10" s="1"/>
  <c r="C10" i="10" s="1"/>
  <c r="D46" i="8"/>
</calcChain>
</file>

<file path=xl/sharedStrings.xml><?xml version="1.0" encoding="utf-8"?>
<sst xmlns="http://schemas.openxmlformats.org/spreadsheetml/2006/main" count="780" uniqueCount="669">
  <si>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</si>
  <si>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</si>
  <si>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</si>
  <si>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</si>
  <si>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</si>
  <si>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</si>
  <si>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</si>
  <si>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</si>
  <si>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</si>
  <si>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</si>
  <si>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</si>
  <si>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</si>
  <si>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</si>
  <si>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</si>
  <si>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</si>
  <si>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</si>
  <si>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</si>
  <si>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</si>
  <si>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</si>
  <si>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</si>
  <si>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</si>
  <si>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</si>
  <si>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</si>
  <si>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</si>
  <si>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</si>
  <si>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</si>
  <si>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Chưa</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</si>
  <si>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</si>
  <si>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</si>
  <si>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</si>
  <si>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</si>
  <si>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</si>
  <si>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</si>
  <si>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</si>
  <si>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</si>
  <si>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</si>
  <si>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</si>
  <si>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</si>
  <si>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</si>
  <si>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</si>
  <si>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</si>
  <si>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</si>
  <si>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Có</t>
  </si>
  <si>
    <t>Dùng xuyên suốt</t>
  </si>
  <si>
    <t>Nhóm ngồi chung bàn nhưng khác dự án: chọn 1 trong 3 đề bài giả định trong file CS9_DeBai_GiaDinh.pdf (đề cho sẵn số liệu trang 1–3; ghi tên đề ở cột Ghi chú)</t>
  </si>
  <si>
    <t>Đề bài 2: ChấmNhanh - Trợ lý chấm bài viết tiếng Anh cho trung tâm ngoại ngữ. Nhóm: tung tung tung sahur (Nguyễn Thị Minh Khánh - Điều phối; Lại Bá Quân - Tính số; Đỗ Lê Việt Anh - Phản biện; Nguyễn Quang Huy - Ghi chép)</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</si>
  <si>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</si>
  <si>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</si>
  <si>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</si>
  <si>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</si>
  <si>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</si>
  <si>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</si>
  <si>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</si>
  <si>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</si>
  <si>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</si>
  <si>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</si>
  <si>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</si>
  <si>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</si>
  <si>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</si>
  <si>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</si>
  <si>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chỉ tăng tiền và vốn góp; không phải doanh thu</t>
  </si>
  <si>
    <t>Vay ngân hàng, gốc trả sau 3 năm</t>
  </si>
  <si>
    <t>Lãi 12%/năm, trả cuối mỗi tháng</t>
  </si>
  <si>
    <t>Không: tiền vay không phải doanh thu; chỉ lãi vay vào chi phí mỗi tháng</t>
  </si>
  <si>
    <t>Mua máy chủ, trả tiền ngay</t>
  </si>
  <si>
    <t>Dùng 36 tháng, khấu hao đều</t>
  </si>
  <si>
    <t>Không: mua tài sản dùng lâu; chỉ khấu hao 10 triệu/tháng vào báo cáo</t>
  </si>
  <si>
    <t>Bán gói tháng cho cửa hàng nhỏ, thu tiền ngay</t>
  </si>
  <si>
    <t>Có: doanh thu tháng nào ghi tháng đó</t>
  </si>
  <si>
    <t>Ngân hàng X trả trước gói 12 tháng</t>
  </si>
  <si>
    <t>Dịch vụ chạy đều từ tháng 1</t>
  </si>
  <si>
    <t>Một phần: mỗi tháng 20 triệu; phần còn lại là doanh thu chưa thực hiện</t>
  </si>
  <si>
    <t>Dự án triển khai cho công ty Y được nghiệm thu</t>
  </si>
  <si>
    <t>Y trả tiền sau 60 ngày (tháng 4)</t>
  </si>
  <si>
    <t>Có: 90 triệu doanh thu tháng 2, khi nghiệm thu</t>
  </si>
  <si>
    <t>Chi phí gọi AI phát sinh trong tháng</t>
  </si>
  <si>
    <t>Nhà cung cấp cho trả vào tháng sau</t>
  </si>
  <si>
    <t>Có: ghi vào tháng dùng, dù trả tiền tháng sau</t>
  </si>
  <si>
    <t>Người kiểm tra câu trả lời, trả trong tháng</t>
  </si>
  <si>
    <t>Có: giá vốn</t>
  </si>
  <si>
    <t>Lương đội phát triển và bán hàng, trả trong tháng</t>
  </si>
  <si>
    <t>Có: chi phí hoạt động</t>
  </si>
  <si>
    <t>Thuê văn phòng, trả trong tháng</t>
  </si>
  <si>
    <t>Thuế thu nhập doanh nghiệp</t>
  </si>
  <si>
    <t>Lỗ lũy kế nên chưa phát sinh thuế</t>
  </si>
  <si>
    <t>Có: bằng 0 vì đang lỗ</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</si>
  <si>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</si>
  <si>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</si>
  <si>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</si>
  <si>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</si>
  <si>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</si>
  <si>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</si>
  <si>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</si>
  <si>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</si>
  <si>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</si>
  <si>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</si>
  <si>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</si>
  <si>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</si>
  <si>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</si>
  <si>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</si>
  <si>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</si>
  <si>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</si>
  <si>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</si>
  <si>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</si>
  <si>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</si>
  <si>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</si>
  <si>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</si>
  <si>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</si>
  <si>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</si>
  <si>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</si>
  <si>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</si>
  <si>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</si>
  <si>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</si>
  <si>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</si>
  <si>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</si>
  <si>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</si>
  <si>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</si>
  <si>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</si>
  <si>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</si>
  <si>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</si>
  <si>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</si>
  <si>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</si>
  <si>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</si>
  <si>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</si>
  <si>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</si>
  <si>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</si>
  <si>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</si>
  <si>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</si>
  <si>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</si>
  <si>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</si>
  <si>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</si>
  <si>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</si>
  <si>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</si>
  <si>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</si>
  <si>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</si>
  <si>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</si>
  <si>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</si>
  <si>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</si>
  <si>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</si>
  <si>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</si>
  <si>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Tháng 2 lãi 2 triệu nhưng tiền giảm 88 triệu (1.077 → 989): 90 triệu dự án Y đã ghi doanh thu mà chưa thu, lại trả 15 triệu tiền gọi AI của tháng 1.</t>
  </si>
  <si>
    <t>2. 240 triệu ngân hàng X trả trước nằm ở đâu trên bảng cân đối cuối tháng 3, bao nhiêu? Vì sao không ghi hết vào doanh thu?</t>
  </si>
  <si>
    <t>180 triệu ở dòng Doanh thu chưa thực hiện (nợ phải trả): công ty còn nợ ngân hàng 9 tháng dịch vụ. Chỉ 60 triệu của 3 tháng đã phục vụ mới là doanh thu.</t>
  </si>
  <si>
    <t>3. Lỗ 174 triệu mà dòng tiền kinh doanh chỉ âm 19 triệu. Khoản nào bù vào? Có nên vui không?</t>
  </si>
  <si>
    <t>Chủ yếu là 180 triệu khách trả trước, thêm 35 triệu chưa trả nhà cung cấp và 30 triệu khấu hao. Đó là tiền còn nợ dịch vụ và nợ nhà cung cấp, không phải tiền lãi.</t>
  </si>
  <si>
    <t>4. (Xong sớm) Nếu từ tháng 4 mọi thứ giữ như tháng 3, công ty còn trụ được khoảng bao nhiêu tháng?</t>
  </si>
  <si>
    <t>Mỗi tháng thu 110, chi 188 (10 + 35 + 120 + 20 + 3), đốt 78 triệu. (921 + 90 triệu Y trả ở tháng 4) ÷ 78 ≈ 13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</si>
  <si>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</si>
  <si>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</si>
  <si>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</si>
  <si>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</si>
  <si>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</si>
  <si>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</si>
  <si>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</si>
  <si>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</si>
  <si>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</si>
  <si>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</si>
  <si>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</si>
  <si>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</si>
  <si>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</si>
  <si>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</si>
  <si>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</si>
  <si>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</si>
  <si>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</si>
  <si>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</si>
  <si>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</si>
  <si>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</si>
  <si>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</si>
  <si>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1 bài viết tiếng Anh (250–300 từ) được chấm theo 4 tiêu chí và nhận xét</t>
  </si>
  <si>
    <t>Đề bài 2: Bài viết học sinh theo chuẩn IELTS Task 2 / Cambridge</t>
  </si>
  <si>
    <t>Một câu: AI nhận gì, trả ra gì cho khách. Bản mẫu: trả lời 1 hội thoại Zalo của khách cho cửa hàng nhỏ.</t>
  </si>
  <si>
    <t>Số lần gọi mô hình / việc</t>
  </si>
  <si>
    <t>lần</t>
  </si>
  <si>
    <t>Đề bài 2: 2 lần gọi (1 lần chấm điểm theo 4 tiêu chí rubric, 1 lần viết nhận xét sửa lỗi chi tiết)</t>
  </si>
  <si>
    <t>Đếm số bước phải gọi mô hình cho 1 việc: hiểu câu hỏi, tra cứu, soạn trả lời, tự kiểm tra. Bản mẫu: 2.</t>
  </si>
  <si>
    <t>Token đầu vào / lần gọi</t>
  </si>
  <si>
    <t>token</t>
  </si>
  <si>
    <t>Đề bài 2: Đề bài, bài viết học viên, thang điểm rubric 4 tiêu chí, bài mẫu tham chiếu</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</si>
  <si>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</si>
  <si>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</si>
  <si>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Đề bài 2: Điểm chi tiết 4 tiêu chí + nhận xét sửa lỗi ngữ pháp, từ vựng và gợi ý cải thiện</t>
  </si>
  <si>
    <t>Độ dài câu trả lời, đếm bằng cách chạy thử. Bản mẫu: 300 (1–3 câu ngắn).</t>
  </si>
  <si>
    <t>Giá token đầu vào</t>
  </si>
  <si>
    <t>USD / 1 triệu token</t>
  </si>
  <si>
    <t>[NGÀNH] Claude Sonnet 3.5 / 5.5: 2 USD / 1M token vào, bảng giá Anthropic 10/2026 (trang 9)</t>
  </si>
  <si>
    <t>Chọn 1 mô hình ở trang 9 hoặc trang giá chính thức. Ghi tên mô hình, ngày tra, đường dẫn ở cột D. Bản mẫu: 0,4 USD (mô hình nhỏ giả định; nhóm thay bằng giá mô hình thật).</t>
  </si>
  <si>
    <t>Giá token đầu ra</t>
  </si>
  <si>
    <t>[NGÀNH] Claude Sonnet 3.5 / 5.5: 10 USD / 1M token ra, bảng giá Anthropic 10/2026 (trang 9)</t>
  </si>
  <si>
    <t>Như dòng 9. Giá đầu ra thường cao hơn đầu vào nhiều lần. Bản mẫu: 1,6 USD.</t>
  </si>
  <si>
    <t>Tỷ giá</t>
  </si>
  <si>
    <t>VND / USD</t>
  </si>
  <si>
    <t>[NGÀNH] Tỷ giá bán ra Vietcombank ngày 04/10/2026 (trang 9)</t>
  </si>
  <si>
    <t>Tỷ giá bán ra Vietcombank ở trang 9 (26.170 đồng, ngày 04/10/2026) hoặc tra mới, ghi ngày. Bản mẫu: 26.000.</t>
  </si>
  <si>
    <t>Tỷ lệ gọi lại khi lỗi</t>
  </si>
  <si>
    <t>%</t>
  </si>
  <si>
    <t>Đề bài 2: Tỷ lệ gọi lại khi lỗi mạng / timeout / lỗi JSON là 5%</t>
  </si>
  <si>
    <t>Tỷ lệ việc phải gọi lại vì lỗi, hết thời gian chờ, trả lời hỏng. Chưa đo: giả định 5–10%, ghi lý do. Bản mẫu: 10%.</t>
  </si>
  <si>
    <t>Hạ tầng / việc (máy chủ, cơ sở dữ liệu, gửi tin)</t>
  </si>
  <si>
    <t>VND</t>
  </si>
  <si>
    <t>Đề bài 2: Lưu trữ bài viết, cơ sở dữ liệu kết quả, máy chủ trung gian API</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</si>
  <si>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</si>
  <si>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</si>
  <si>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2: 10% bài sát ngưỡng điểm hoặc có học viên khiếu nại cần giáo viên duyệt lại</t>
  </si>
  <si>
    <t>Lấy từ báo cáo đánh giá chất lượng (tỷ lệ trả lời chưa đạt). Chưa có: giả định 10–20%. Bản mẫu: 10%.</t>
  </si>
  <si>
    <t>Số phút người kiểm tra / việc</t>
  </si>
  <si>
    <t>phút</t>
  </si>
  <si>
    <t>Đề bài 2: Giáo viên xem lướt bài và xác nhận/sửa nhận xét trong 3 phút</t>
  </si>
  <si>
    <t>Thời gian 1 người đọc và sửa 1 kết quả. Bản mẫu: 1,5 phút.</t>
  </si>
  <si>
    <t>Chi phí nhân sự kiểm tra</t>
  </si>
  <si>
    <t>VND / giờ</t>
  </si>
  <si>
    <t>Đề bài 2: Chi phí giáo viên kiểm tra 120.000 đồng/giờ (lương + phụ cấp chấm bài)</t>
  </si>
  <si>
    <t>Bằng (lương tháng + bảo hiểm) ÷ số giờ làm mỗi tháng (khoảng 176–208 giờ). Lương tối thiểu ở trang 9 chỉ là mức sàn. Bản mẫu: 60.000 đồng/giờ.</t>
  </si>
  <si>
    <t>Đánh giá chất lượng, giám sát, gán nhãn lại / việc</t>
  </si>
  <si>
    <t>Đề bài 2: Giáo viên chấm lại mẫu hằng tháng để hiệu chỉnh chất lượng prompt và benchmark</t>
  </si>
  <si>
    <t>Chi phí chạy bộ câu hỏi đánh giá, gán nhãn lại mỗi tháng ÷ số việc mỗi tháng. Bản mẫu: 60 đồng.</t>
  </si>
  <si>
    <t>Chi phí khác / việc (tuân thủ, lưu nhật ký…)</t>
  </si>
  <si>
    <t>Đề bài 2: Lưu trữ nhật ký chấm bài, bảo mật thông tin học viên và kiểm toán chất lượng</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</si>
  <si>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</si>
  <si>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</si>
  <si>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</si>
  <si>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</si>
  <si>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</si>
  <si>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</si>
  <si>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</si>
  <si>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</si>
  <si>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</si>
  <si>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</si>
  <si>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</si>
  <si>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</si>
  <si>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</si>
  <si>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</si>
  <si>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</si>
  <si>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</si>
  <si>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</si>
  <si>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Nhân sự: giờ chấm bài của giáo viên</t>
  </si>
  <si>
    <t>Phần mềm hay Nhân sự?</t>
  </si>
  <si>
    <t>Đề bài 2: Thay thế giờ chấm bài ngoài giờ của giáo viên trung tâm</t>
  </si>
  <si>
    <t>Cách tính tiền đã chọn</t>
  </si>
  <si>
    <t>Kết hợp: phí cố định + phí vượt hạn mức</t>
  </si>
  <si>
    <t>Bảng giá dưới luôn có dạng phí cố định + phí mỗi việc vượt hạn mức. Cách nhập cho từng cách tính tiền: dòng 35–40.</t>
  </si>
  <si>
    <t>Đề bài 2: Thu phí cố định hàng tháng kèm hạn mức, vượt hạn mức thu theo bài</t>
  </si>
  <si>
    <t>Lý do chọn (hai câu hỏi: đo được kết quả? AI tự làm trọn?)</t>
  </si>
  <si>
    <t>Đo đếm được số bài chấm rõ ràng; trung tâm kiểm soát được ngân sách tối thiểu nhưng linh hoạt khi học viên nộp nhiều bài vào mùa thi.</t>
  </si>
  <si>
    <t>Đề bài 2: Đo được kết quả rõ ràng; AI làm trọn khâu chấm và nhận xét sơ bộ trong 24h</t>
  </si>
  <si>
    <t>Neo giá so với cái gì?</t>
  </si>
  <si>
    <t>Chi phí giáo viên chấm bài của trung tâm (25 triệu/tháng)</t>
  </si>
  <si>
    <t>Lương hoặc chi phí thuê ngoài, không so với giá ChatGPT</t>
  </si>
  <si>
    <t>Đề bài 2: Neo theo chi phí trả cho giáo viên chấm bài hàng tháng của một trung tâm</t>
  </si>
  <si>
    <t>Phí cố định / khách / tháng</t>
  </si>
  <si>
    <t>Đề bài 2: Gói cố định 3.900.000 đ/tháng cho mỗi trung tâm</t>
  </si>
  <si>
    <t>Số việc đã gồm trong phí cố định</t>
  </si>
  <si>
    <t>việc / tháng</t>
  </si>
  <si>
    <t>Đề bài 2: Gói cơ bản gồm 600 bài chấm/tháng (đơn giá gói 6.500 đ/bài)</t>
  </si>
  <si>
    <t>Giá mỗi việc vượt hạn mức</t>
  </si>
  <si>
    <t>VND / việc</t>
  </si>
  <si>
    <t>Đề bài 2: 5.500 đ/bài vượt hạn mức (cao hơn giá sàn 4.858 đ ở trang 1 dòng 26)</t>
  </si>
  <si>
    <t>Giá gói không giới hạn (để so sánh; thường = phí cố định dòng 9)</t>
  </si>
  <si>
    <t>VND / tháng</t>
  </si>
  <si>
    <t>Đề bài 2: Gói không giới hạn (để so sánh) bằng phí cố định 3.900.000 đ</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</si>
  <si>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</si>
  <si>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</si>
  <si>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</si>
  <si>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</si>
  <si>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</si>
  <si>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</si>
  <si>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</si>
  <si>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</si>
  <si>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</si>
  <si>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Đề bài 2: 75% trung tâm nhỏ, chấm trung bình 500 bài/tháng (chưa vượt hạn mức)</t>
  </si>
  <si>
    <t>Khách dùng nhiều</t>
  </si>
  <si>
    <t>Đề bài 2: 25% trung tâm lớn, mùa cao điểm chấm 2.500 bài/tháng (vượt 1.900 bài)</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</si>
  <si>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</si>
  <si>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</si>
  <si>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</si>
  <si>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</si>
  <si>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</si>
  <si>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</si>
  <si>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</si>
  <si>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</si>
  <si>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Đề bài 2: Chi phí giáo viên chấm bài của một trung tâm (25 triệu/tháng)</t>
  </si>
  <si>
    <t>Tỷ lệ chia doanh thu cho đối tác / kênh bán</t>
  </si>
  <si>
    <t>% doanh thu</t>
  </si>
  <si>
    <t>Đề bài 2: Chia 20% doanh thu cho đối tác phân phối giải pháp giáo dục</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</si>
  <si>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</si>
  <si>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</si>
  <si>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</si>
  <si>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</si>
  <si>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</si>
  <si>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</si>
  <si>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</si>
  <si>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</si>
  <si>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</si>
  <si>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</si>
  <si>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</si>
  <si>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</si>
  <si>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</si>
  <si>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</si>
  <si>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</si>
  <si>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</si>
  <si>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</si>
  <si>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</si>
  <si>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</si>
  <si>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</si>
  <si>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</si>
  <si>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</si>
  <si>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</si>
  <si>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</si>
  <si>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</si>
  <si>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</si>
  <si>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</si>
  <si>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</si>
  <si>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</si>
  <si>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</si>
  <si>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</si>
  <si>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Đề bài 2: Cơ sở = 1; Lạc quan = 1,1; Xấu = 0,8 (bị ép chiết khấu hoặc trung tâm dùng ít)</t>
  </si>
  <si>
    <t>Bản mẫu: 1,1 / 1 / 0,8. Xấu: bị ép giảm giá; lạc quan: bán được gói cao hơn.</t>
  </si>
  <si>
    <t>Hệ số chi phí AI / khách so với trang 2 (gõ như dòng 5)</t>
  </si>
  <si>
    <t>Đề bài 2: Cơ sở = 1; Lạc quan = 0,9; Xấu = 1,2 (giá token tăng hoặc bài viết dài hơn)</t>
  </si>
  <si>
    <t>Bản mẫu: 0,9 / 1 / 1,2. Giá gọi AI hoặc cách khách dùng thay đổi.</t>
  </si>
  <si>
    <t>Khách mới tháng 1 (số khách ký được trong tháng đầu bán)</t>
  </si>
  <si>
    <t>khách</t>
  </si>
  <si>
    <t>Đề bài 2: Tháng 1 ký được 10 trung tâm ngoại ngữ thông qua đối tác phân phối</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</si>
  <si>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</si>
  <si>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</si>
  <si>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Đề bài 2: Tăng trưởng khách mới 5%/tháng (đối tác mở rộng mạng lưới trung tâm)</t>
  </si>
  <si>
    <t>Mặc định: lạc quan × 1,6, xấu × 0,4. Bản mẫu: 8% / 5% / 2%. Trên 10% mỗi tháng cần lý do rất chắc.</t>
  </si>
  <si>
    <t>Tỷ lệ rời bỏ / tháng</t>
  </si>
  <si>
    <t>Đề bài 2: Tỷ lệ rời bỏ 4,5%/tháng (trung tâm nhỏ đóng cửa hoặc nghỉ hè)</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</si>
  <si>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</si>
  <si>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</si>
  <si>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</si>
  <si>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Đề bài 2: Chi phí có một khách 7 triệu đ (đào tạo giáo viên, tích hợp hệ thống, marketing chung)</t>
  </si>
  <si>
    <t>Xấu phải ≥ 1,5 × cơ sở. Mặc định: lạc quan × 0,8, xấu × 1,5. (Bản mẫu tự đặt 1,2 / 1,5 / 2,3 triệu đồng.)</t>
  </si>
  <si>
    <t>Chi phí cố định / tháng (lương đội, văn phòng, hạ tầng trả cố định)</t>
  </si>
  <si>
    <t>Đề bài 2: Chi phí cố định 160 triệu đ/tháng (lương đội ngũ 5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</si>
  <si>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</si>
  <si>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</si>
  <si>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2: 600 triệu đ gồm 3 tháng đội ngũ (480tr) + 1.000 bài chấm mẫu đối chiếu &amp; token thử nghiệm (120tr)</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</si>
  <si>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</si>
  <si>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</si>
  <si>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Đề bài 2: Vốn chủ sở hữu / quỹ đầu tư ban đầu 3 tỷ đồng</t>
  </si>
  <si>
    <t>Gõ đủ số đồng. Dự án trong công ty: ghi ngân sách đã duyệt. Để trống thì mọi kịch bản hết tiền ngay tháng 1. Bản mẫu: 2 tỷ.</t>
  </si>
  <si>
    <t>Lãi suất chiết khấu / năm</t>
  </si>
  <si>
    <t>Giả định lớp học: chi phí vốn cho dự án công nghệ AI rủi ro cao (15%/năm)</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</si>
  <si>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</si>
  <si>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</si>
  <si>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</si>
  <si>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</si>
  <si>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</si>
  <si>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</si>
  <si>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</si>
  <si>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</si>
  <si>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</si>
  <si>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</si>
  <si>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</si>
  <si>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</si>
  <si>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</si>
  <si>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</si>
  <si>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</si>
  <si>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</si>
  <si>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</si>
  <si>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</si>
  <si>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</si>
  <si>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</si>
  <si>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</si>
  <si>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</si>
  <si>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</si>
  <si>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</si>
  <si>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</si>
  <si>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</si>
  <si>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</si>
  <si>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</si>
  <si>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</si>
  <si>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</si>
  <si>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</si>
  <si>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</si>
  <si>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</si>
  <si>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</si>
  <si>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</si>
  <si>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</si>
  <si>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</si>
  <si>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</si>
  <si>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</si>
  <si>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</si>
  <si>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</si>
  <si>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</si>
  <si>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</si>
  <si>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</si>
  <si>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</si>
  <si>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</si>
  <si>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</si>
  <si>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</si>
  <si>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</si>
  <si>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</si>
  <si>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</si>
  <si>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</si>
  <si>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</si>
  <si>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</si>
  <si>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</si>
  <si>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</si>
  <si>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</si>
  <si>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</si>
  <si>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</si>
  <si>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</si>
  <si>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</si>
  <si>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</si>
  <si>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</si>
  <si>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</si>
  <si>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</si>
  <si>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</si>
  <si>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</si>
  <si>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</si>
  <si>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</si>
  <si>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</si>
  <si>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</si>
  <si>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</si>
  <si>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</si>
  <si>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</si>
  <si>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</si>
  <si>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</si>
  <si>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</si>
  <si>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</si>
  <si>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</si>
  <si>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</si>
  <si>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</si>
  <si>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</si>
  <si>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</si>
  <si>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</si>
  <si>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</si>
  <si>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</si>
  <si>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</si>
  <si>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</si>
  <si>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</si>
  <si>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</si>
  <si>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</si>
  <si>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</si>
  <si>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</si>
  <si>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</si>
  <si>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</si>
  <si>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</si>
  <si>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</si>
  <si>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</si>
  <si>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</si>
  <si>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</si>
  <si>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</si>
  <si>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</si>
  <si>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</si>
  <si>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</si>
  <si>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</si>
  <si>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</si>
  <si>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</si>
  <si>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</si>
  <si>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</si>
  <si>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</si>
  <si>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</si>
  <si>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</si>
  <si>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</si>
  <si>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</si>
  <si>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</si>
  <si>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</si>
  <si>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</si>
  <si>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</si>
  <si>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</si>
  <si>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</si>
  <si>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</si>
  <si>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</si>
  <si>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</si>
  <si>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</si>
  <si>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</si>
  <si>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</si>
  <si>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</si>
  <si>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</si>
  <si>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</si>
  <si>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</si>
  <si>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</si>
  <si>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</si>
  <si>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</si>
  <si>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</si>
  <si>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</si>
  <si>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</si>
  <si>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</si>
  <si>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</si>
  <si>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</si>
  <si>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</si>
  <si>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</si>
  <si>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</si>
  <si>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</si>
  <si>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</si>
  <si>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</si>
  <si>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</si>
  <si>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</si>
  <si>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</si>
  <si>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</si>
  <si>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</si>
  <si>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</si>
  <si>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</si>
  <si>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</si>
  <si>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</si>
  <si>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</si>
  <si>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</si>
  <si>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</si>
  <si>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</si>
  <si>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</si>
  <si>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</si>
  <si>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</si>
  <si>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</si>
  <si>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</si>
  <si>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</si>
  <si>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</si>
  <si>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</si>
  <si>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</si>
  <si>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</si>
  <si>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</si>
  <si>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</si>
  <si>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</si>
  <si>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</si>
  <si>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</si>
  <si>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</si>
  <si>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</si>
  <si>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</si>
  <si>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</si>
  <si>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</si>
  <si>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</si>
  <si>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</si>
  <si>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</si>
  <si>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</si>
  <si>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</si>
  <si>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</si>
  <si>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</si>
  <si>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</si>
  <si>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</si>
  <si>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</si>
  <si>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</si>
  <si>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</si>
  <si>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</si>
  <si>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</si>
  <si>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</si>
  <si>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</si>
  <si>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</si>
  <si>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</si>
  <si>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</si>
  <si>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</si>
  <si>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</si>
  <si>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</si>
  <si>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</si>
  <si>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</si>
  <si>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</si>
  <si>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</si>
  <si>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</si>
  <si>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</si>
  <si>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</si>
  <si>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</si>
  <si>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</si>
  <si>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</si>
  <si>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</si>
  <si>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</si>
  <si>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</si>
  <si>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</si>
  <si>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</si>
  <si>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</si>
  <si>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</si>
  <si>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</si>
  <si>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</si>
  <si>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</si>
  <si>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</si>
  <si>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</si>
  <si>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</si>
  <si>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</si>
  <si>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Thử nghiệm nhỏ 4 tháng với 20 trung tâm ngoại ngữ: Kịch bản cơ sở rất hiệu quả (NPV 24 tháng đạt +3,51 tỷ đồng, LTV/CAC đạt 11,4 lần, hoàn vốn khách hàng 1,95 tháng), nhưng kịch bản xấu hết tiền ở tháng 17 và dự án phụ thuộc 55,1% doanh thu vào nhóm 25% trung tâm lớn. Kế hoạch cắt giảm nếu xấu: giảm ngân sách tiếp thị trực tiếp, đàm phán hoa hồng đối tác từ 20% về 15%, và chuyển bài chấm sang cơ chế gửi theo lô (Batch API) để giảm 50% chi phí AI.</t>
  </si>
  <si>
    <t>2. Giá bán và cách tính tiền đã chọn — vì sao khách chấp nhận mức đó?</t>
  </si>
  <si>
    <t>Gói kết hợp 3.900.000 đ/tháng gồm 600 bài, vượt hạn mức thu 5.500 đ/bài (≥ giá sàn 4.858 đ). Trung tâm sẵn sàng trả vì neo theo ngân sách giáo viên chấm bài (25 triệu/tháng): trung tâm nhỏ trả 3,9 triệu (15,6% lương), trung tâm lớn trả 14,35 triệu (57,4% lương, nằm trong vùng 50–70% chuẩn Ngày 22), giúp tiết kiệm 40–85% chi phí và trả bài trong 24 giờ. Dùng mô hình đắt Sonnet mà biên gộp vẫn đạt 75,1% (sau chia đối tác còn 55,1%) vì định giá theo giá trị mang lại.</t>
  </si>
  <si>
    <t>3. Biến số nguy hiểm nhất (theo bảng độ nhạy ở trang 5) và cách theo dõi.</t>
  </si>
  <si>
    <t>Biến nguy hiểm nhất là Doanh thu bình quân giảm 20% (NPV giảm 2,91 tỷ đồng, từ +3,51 tỷ xuống 607 triệu, giảm 83% giá trị dự án). Rủi ro lớn nhất là trung tâm lớn rời bỏ: nếu mất 25% khách lớn, NPV rơi xuống âm -57,7 triệu đồng và hoàn vốn kéo dài sang tháng 23. Kế hoạch theo dõi: Giám sát hằng tuần số bài chấm trung bình/trung tâm, tỷ lệ vượt hạn mức 600 bài, và tỷ lệ gia hạn sau kỳ thi.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</si>
  <si>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</si>
  <si>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doanh thu bình quân dưới 3.950.000 đ/trung tâm (sau chia đối tác) TRONG 2 tháng liên tiếp trên ít nhất 15 trung tâm, THÌ dừng mở rộng đại lý, đóng gói thêm tính năng phân tích phổ điểm và phát hiện lỗi ngữ pháp định kỳ để kích thích dùng vượt hạn mức. KHÔNG THÌ không giảm giá gói cơ bản xuống dưới 3.500.000 đ và không hạ phí vượt hạn mức xuống dưới giá sàn 4.858 đ.</t>
  </si>
  <si>
    <t>5. Mức cảnh báo tự tính (trang 5, dòng 72–77) đã điền vào bảng theo dõi Ngày 23 thế nào? Chưa có bảng Ngày 23: chép các mức đó, ghi mức nào là "nguy", mức nào "đáng lo", và ai theo dõi hằng tuần.</t>
  </si>
  <si>
    <t>Mức cảnh báo tự tính: Doanh thu bình quân dưới 3.950.000 đ/trung tâm: NGUY (NPV về 0). Chi phí có một khách (CAC) trên 16,45 triệu đ: NGUY (LTV/CAC dưới 4,8). Khách mới tháng đầu dưới 6 trung tâm: ĐÁNG LO. Tỷ lệ chia đối tác tối đa 39,3%: đòi trên mức này là NGUY. Bạn Lại Bá Quân (Tính số) và Nguyễn Thị Minh Khánh (Điều phối)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</si>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</sst>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18">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xf numFmtId="0" fontId="6" fillId="0" borderId="0" xfId="0" applyFont="1" applyAlignment="1">
      <alignment vertical="top" wrapText="1"/>
    </xf>
    <xf numFmtId="0" fontId="0" fillId="0" borderId="0" xfId="0"/>
    <xf numFmtId="0" fontId="7" fillId="2" borderId="1" xfId="0"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0" fillId="0" borderId="2" xfId="0" applyBorder="1"/>
    <xf numFmtId="0" fontId="0" fillId="0" borderId="3" xfId="0" applyBorder="1"/>
    <xf numFmtId="0" fontId="7" fillId="3" borderId="1" xfId="0" applyFont="1" applyFill="1" applyBorder="1"/>
    <xf numFmtId="0" fontId="5" fillId="4" borderId="0" xfId="0" applyFont="1" applyFill="1" applyAlignment="1">
      <alignment vertical="center" wrapText="1"/>
    </xf>
    <xf numFmtId="0" fontId="10" fillId="0" borderId="0" xfId="0" applyFont="1" applyAlignment="1">
      <alignment vertical="top" wrapText="1"/>
    </xf>
    <xf numFmtId="0" fontId="0" fillId="2" borderId="0" xfId="0" applyFill="1" applyAlignment="1" applyProtection="1">
      <alignment wrapText="1"/>
      <protection locked="0"/>
    </xf>
    <xf numFmtId="0" fontId="0" fillId="0" borderId="0" xfId="0" applyProtection="1">
      <protection locked="0"/>
    </xf>
    <xf numFmtId="0" fontId="2" fillId="0" borderId="0" xfId="0" applyFont="1" applyAlignment="1">
      <alignment vertical="top" wrapText="1"/>
    </xf>
    <xf numFmtId="0" fontId="7" fillId="0" borderId="0" xfId="0" applyFont="1" applyAlignment="1">
      <alignment vertical="top" wrapText="1"/>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zoomScaleNormal="100" workbookViewId="0"/>
  </sheetViews>
  <sheetFormatPr defaultColWidth="8.6640625" defaultRowHeight="14.4" x14ac:dyDescent="0.3"/>
  <cols>
    <col min="1" max="1" width="130" customWidth="1"/>
  </cols>
  <sheetData>
    <row r="1" spans="1:1" ht="17.25" customHeight="1" x14ac:dyDescent="0.3">
      <c r="A1" s="1" t="s">
        <v>0</v>
      </c>
    </row>
    <row r="2" spans="1:1" ht="46.5" customHeight="1" x14ac:dyDescent="0.3">
      <c r="A2" s="2" t="s">
        <v>1</v>
      </c>
    </row>
    <row r="3" spans="1:1" ht="31.5" customHeight="1" x14ac:dyDescent="0.3">
      <c r="A3" s="3" t="s">
        <v>2</v>
      </c>
    </row>
    <row r="4" spans="1:1" ht="31.5" customHeight="1" x14ac:dyDescent="0.3">
      <c r="A4" s="3" t="s">
        <v>3</v>
      </c>
    </row>
    <row r="5" spans="1:1" ht="46.5" customHeight="1" x14ac:dyDescent="0.3">
      <c r="A5" s="3" t="s">
        <v>4</v>
      </c>
    </row>
    <row r="6" spans="1:1" ht="46.5" customHeight="1" x14ac:dyDescent="0.3">
      <c r="A6" s="3" t="s">
        <v>5</v>
      </c>
    </row>
    <row r="7" spans="1:1" ht="31.5" customHeight="1" x14ac:dyDescent="0.3">
      <c r="A7" s="3" t="s">
        <v>6</v>
      </c>
    </row>
    <row r="8" spans="1:1" ht="16.5" customHeight="1" x14ac:dyDescent="0.3">
      <c r="A8" s="3" t="s">
        <v>7</v>
      </c>
    </row>
    <row r="9" spans="1:1" ht="46.5" customHeight="1" x14ac:dyDescent="0.3">
      <c r="A9" s="3" t="s">
        <v>8</v>
      </c>
    </row>
    <row r="10" spans="1:1" ht="16.5" customHeight="1" x14ac:dyDescent="0.3">
      <c r="A10" s="3" t="s">
        <v>9</v>
      </c>
    </row>
    <row r="11" spans="1:1" ht="31.5" customHeight="1" x14ac:dyDescent="0.3">
      <c r="A11" s="3" t="s">
        <v>10</v>
      </c>
    </row>
    <row r="12" spans="1:1" ht="31.5" customHeight="1" x14ac:dyDescent="0.3">
      <c r="A12" s="3" t="s">
        <v>11</v>
      </c>
    </row>
    <row r="13" spans="1:1" ht="31.5" customHeight="1" x14ac:dyDescent="0.3">
      <c r="A13" s="3" t="s">
        <v>12</v>
      </c>
    </row>
    <row r="14" spans="1:1" ht="16.5" customHeight="1" x14ac:dyDescent="0.3">
      <c r="A14" s="3" t="s">
        <v>13</v>
      </c>
    </row>
    <row r="15" spans="1:1" ht="15" customHeight="1" x14ac:dyDescent="0.3">
      <c r="A15" s="4" t="s">
        <v>14</v>
      </c>
    </row>
    <row r="16" spans="1:1" ht="15" customHeight="1" x14ac:dyDescent="0.3">
      <c r="A16" s="5" t="s">
        <v>15</v>
      </c>
    </row>
    <row r="17" spans="1:1" ht="15" customHeight="1" x14ac:dyDescent="0.3">
      <c r="A17" s="6" t="s">
        <v>16</v>
      </c>
    </row>
    <row r="18" spans="1:1" ht="15" customHeight="1" x14ac:dyDescent="0.3">
      <c r="A18" s="7"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18</v>
      </c>
    </row>
    <row r="2" spans="1:5" ht="15" customHeight="1" x14ac:dyDescent="0.3">
      <c r="A2" s="8" t="s">
        <v>19</v>
      </c>
    </row>
    <row r="4" spans="1:5" ht="26.25" customHeight="1" x14ac:dyDescent="0.3">
      <c r="A4" s="9" t="s">
        <v>20</v>
      </c>
      <c r="B4" s="9" t="s">
        <v>21</v>
      </c>
      <c r="C4" s="9" t="s">
        <v>22</v>
      </c>
      <c r="D4" s="9" t="s">
        <v>23</v>
      </c>
      <c r="E4" s="9" t="s">
        <v>24</v>
      </c>
    </row>
    <row r="5" spans="1:5" ht="33.75" customHeight="1" x14ac:dyDescent="0.3">
      <c r="A5" s="10" t="s">
        <v>25</v>
      </c>
      <c r="B5" s="11" t="s">
        <v>26</v>
      </c>
      <c r="C5" s="10" t="s">
        <v>27</v>
      </c>
      <c r="D5" s="10" t="s">
        <v>28</v>
      </c>
      <c r="E5" s="11"/>
    </row>
    <row r="6" spans="1:5" ht="33.75" customHeight="1" x14ac:dyDescent="0.3">
      <c r="A6" s="10" t="s">
        <v>29</v>
      </c>
      <c r="B6" s="11" t="s">
        <v>26</v>
      </c>
      <c r="C6" s="10" t="s">
        <v>30</v>
      </c>
      <c r="D6" s="10" t="s">
        <v>31</v>
      </c>
      <c r="E6" s="11"/>
    </row>
    <row r="7" spans="1:5" ht="33.75" customHeight="1" x14ac:dyDescent="0.3">
      <c r="A7" s="10" t="s">
        <v>32</v>
      </c>
      <c r="B7" s="11" t="s">
        <v>26</v>
      </c>
      <c r="C7" s="10" t="s">
        <v>33</v>
      </c>
      <c r="D7" s="10" t="s">
        <v>34</v>
      </c>
      <c r="E7" s="11"/>
    </row>
    <row r="8" spans="1:5" ht="33.75" customHeight="1" x14ac:dyDescent="0.3">
      <c r="A8" s="10" t="s">
        <v>35</v>
      </c>
      <c r="B8" s="11" t="s">
        <v>26</v>
      </c>
      <c r="C8" s="10" t="s">
        <v>36</v>
      </c>
      <c r="D8" s="10" t="s">
        <v>37</v>
      </c>
      <c r="E8" s="11"/>
    </row>
    <row r="9" spans="1:5" ht="33.75" customHeight="1" x14ac:dyDescent="0.3">
      <c r="A9" s="10" t="s">
        <v>38</v>
      </c>
      <c r="B9" s="11" t="s">
        <v>26</v>
      </c>
      <c r="C9" s="10" t="s">
        <v>39</v>
      </c>
      <c r="D9" s="10" t="s">
        <v>40</v>
      </c>
      <c r="E9" s="11"/>
    </row>
    <row r="10" spans="1:5" ht="61.5" customHeight="1" x14ac:dyDescent="0.3">
      <c r="A10" s="10" t="s">
        <v>41</v>
      </c>
      <c r="B10" s="11" t="s">
        <v>42</v>
      </c>
      <c r="C10" s="10" t="s">
        <v>43</v>
      </c>
      <c r="D10" s="10" t="s">
        <v>44</v>
      </c>
      <c r="E10" s="11" t="s">
        <v>45</v>
      </c>
    </row>
    <row r="12" spans="1:5" ht="15" customHeight="1" x14ac:dyDescent="0.3">
      <c r="A12" s="4" t="s">
        <v>46</v>
      </c>
      <c r="B12" s="6">
        <f>COUNTIF(B5:B10,"Có")</f>
        <v>1</v>
      </c>
    </row>
    <row r="13" spans="1:5" ht="15" customHeight="1" x14ac:dyDescent="0.3">
      <c r="A13" s="8" t="s">
        <v>47</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7" activePane="bottomLeft" state="frozen"/>
      <selection pane="bottomLeft"/>
    </sheetView>
  </sheetViews>
  <sheetFormatPr defaultColWidth="8.6640625" defaultRowHeight="14.4" x14ac:dyDescent="0.3"/>
  <cols>
    <col min="1" max="1" width="6" customWidth="1"/>
    <col min="2" max="2" width="60" customWidth="1"/>
    <col min="3" max="5" width="14" customWidth="1"/>
    <col min="6" max="6" width="30" customWidth="1"/>
    <col min="7" max="7" width="34" customWidth="1"/>
  </cols>
  <sheetData>
    <row r="1" spans="1:7" ht="17.25" customHeight="1" x14ac:dyDescent="0.3">
      <c r="A1" s="1" t="s">
        <v>48</v>
      </c>
    </row>
    <row r="2" spans="1:7" ht="15" customHeight="1" x14ac:dyDescent="0.3">
      <c r="A2" s="8" t="s">
        <v>49</v>
      </c>
    </row>
    <row r="3" spans="1:7" ht="31.5" customHeight="1" x14ac:dyDescent="0.3">
      <c r="A3" s="101" t="s">
        <v>50</v>
      </c>
      <c r="B3" s="102"/>
      <c r="C3" s="102"/>
      <c r="D3" s="102"/>
      <c r="E3" s="102"/>
      <c r="F3" s="102"/>
      <c r="G3" s="102"/>
    </row>
    <row r="5" spans="1:7" ht="15" customHeight="1" x14ac:dyDescent="0.3">
      <c r="A5" s="4" t="s">
        <v>51</v>
      </c>
    </row>
    <row r="6" spans="1:7" ht="31.5" customHeight="1" x14ac:dyDescent="0.3">
      <c r="A6" s="13" t="s">
        <v>52</v>
      </c>
      <c r="B6" s="13" t="s">
        <v>53</v>
      </c>
      <c r="C6" s="13" t="s">
        <v>54</v>
      </c>
      <c r="D6" s="13" t="s">
        <v>55</v>
      </c>
      <c r="E6" s="13" t="s">
        <v>56</v>
      </c>
      <c r="F6" s="13" t="s">
        <v>57</v>
      </c>
      <c r="G6" s="13" t="s">
        <v>58</v>
      </c>
    </row>
    <row r="7" spans="1:7" ht="30" customHeight="1" x14ac:dyDescent="0.3">
      <c r="A7" s="14">
        <v>1</v>
      </c>
      <c r="B7" s="15" t="s">
        <v>59</v>
      </c>
      <c r="C7" s="16">
        <v>1000</v>
      </c>
      <c r="D7" s="16"/>
      <c r="E7" s="16"/>
      <c r="F7" s="17"/>
      <c r="G7" s="18" t="s">
        <v>60</v>
      </c>
    </row>
    <row r="8" spans="1:7" ht="30" customHeight="1" x14ac:dyDescent="0.3">
      <c r="A8" s="14">
        <v>2</v>
      </c>
      <c r="B8" s="15" t="s">
        <v>61</v>
      </c>
      <c r="C8" s="16">
        <v>300</v>
      </c>
      <c r="D8" s="16"/>
      <c r="E8" s="16"/>
      <c r="F8" s="17" t="s">
        <v>62</v>
      </c>
      <c r="G8" s="18" t="s">
        <v>63</v>
      </c>
    </row>
    <row r="9" spans="1:7" ht="30" customHeight="1" x14ac:dyDescent="0.3">
      <c r="A9" s="14">
        <v>3</v>
      </c>
      <c r="B9" s="15" t="s">
        <v>64</v>
      </c>
      <c r="C9" s="16">
        <v>360</v>
      </c>
      <c r="D9" s="16"/>
      <c r="E9" s="16"/>
      <c r="F9" s="17" t="s">
        <v>65</v>
      </c>
      <c r="G9" s="18" t="s">
        <v>66</v>
      </c>
    </row>
    <row r="10" spans="1:7" ht="30" customHeight="1" x14ac:dyDescent="0.3">
      <c r="A10" s="14">
        <v>4</v>
      </c>
      <c r="B10" s="15" t="s">
        <v>67</v>
      </c>
      <c r="C10" s="16">
        <v>50</v>
      </c>
      <c r="D10" s="16">
        <v>80</v>
      </c>
      <c r="E10" s="16">
        <v>110</v>
      </c>
      <c r="F10" s="17"/>
      <c r="G10" s="18" t="s">
        <v>68</v>
      </c>
    </row>
    <row r="11" spans="1:7" ht="30" customHeight="1" x14ac:dyDescent="0.3">
      <c r="A11" s="14">
        <v>5</v>
      </c>
      <c r="B11" s="15" t="s">
        <v>69</v>
      </c>
      <c r="C11" s="16">
        <v>240</v>
      </c>
      <c r="D11" s="16"/>
      <c r="E11" s="16"/>
      <c r="F11" s="17" t="s">
        <v>70</v>
      </c>
      <c r="G11" s="18" t="s">
        <v>71</v>
      </c>
    </row>
    <row r="12" spans="1:7" ht="30" customHeight="1" x14ac:dyDescent="0.3">
      <c r="A12" s="14">
        <v>6</v>
      </c>
      <c r="B12" s="15" t="s">
        <v>72</v>
      </c>
      <c r="C12" s="16"/>
      <c r="D12" s="16">
        <v>90</v>
      </c>
      <c r="E12" s="16"/>
      <c r="F12" s="17" t="s">
        <v>73</v>
      </c>
      <c r="G12" s="18" t="s">
        <v>74</v>
      </c>
    </row>
    <row r="13" spans="1:7" ht="30" customHeight="1" x14ac:dyDescent="0.3">
      <c r="A13" s="14">
        <v>7</v>
      </c>
      <c r="B13" s="15" t="s">
        <v>75</v>
      </c>
      <c r="C13" s="16">
        <v>15</v>
      </c>
      <c r="D13" s="16">
        <v>25</v>
      </c>
      <c r="E13" s="16">
        <v>35</v>
      </c>
      <c r="F13" s="17" t="s">
        <v>76</v>
      </c>
      <c r="G13" s="18" t="s">
        <v>77</v>
      </c>
    </row>
    <row r="14" spans="1:7" ht="30" customHeight="1" x14ac:dyDescent="0.3">
      <c r="A14" s="14">
        <v>8</v>
      </c>
      <c r="B14" s="15" t="s">
        <v>78</v>
      </c>
      <c r="C14" s="16">
        <v>10</v>
      </c>
      <c r="D14" s="16">
        <v>10</v>
      </c>
      <c r="E14" s="16">
        <v>10</v>
      </c>
      <c r="F14" s="17"/>
      <c r="G14" s="18" t="s">
        <v>79</v>
      </c>
    </row>
    <row r="15" spans="1:7" ht="30" customHeight="1" x14ac:dyDescent="0.3">
      <c r="A15" s="14">
        <v>9</v>
      </c>
      <c r="B15" s="15" t="s">
        <v>80</v>
      </c>
      <c r="C15" s="16">
        <v>120</v>
      </c>
      <c r="D15" s="16">
        <v>120</v>
      </c>
      <c r="E15" s="16">
        <v>120</v>
      </c>
      <c r="F15" s="17"/>
      <c r="G15" s="18" t="s">
        <v>81</v>
      </c>
    </row>
    <row r="16" spans="1:7" ht="30" customHeight="1" x14ac:dyDescent="0.3">
      <c r="A16" s="14">
        <v>10</v>
      </c>
      <c r="B16" s="15" t="s">
        <v>82</v>
      </c>
      <c r="C16" s="16">
        <v>20</v>
      </c>
      <c r="D16" s="16">
        <v>20</v>
      </c>
      <c r="E16" s="16">
        <v>20</v>
      </c>
      <c r="F16" s="17"/>
      <c r="G16" s="18" t="s">
        <v>81</v>
      </c>
    </row>
    <row r="17" spans="1:7" ht="30" customHeight="1" x14ac:dyDescent="0.3">
      <c r="A17" s="14">
        <v>11</v>
      </c>
      <c r="B17" s="15" t="s">
        <v>83</v>
      </c>
      <c r="C17" s="16">
        <v>0</v>
      </c>
      <c r="D17" s="16">
        <v>0</v>
      </c>
      <c r="E17" s="16">
        <v>0</v>
      </c>
      <c r="F17" s="17" t="s">
        <v>84</v>
      </c>
      <c r="G17" s="18" t="s">
        <v>85</v>
      </c>
    </row>
    <row r="19" spans="1:7" ht="16.5" customHeight="1" x14ac:dyDescent="0.3">
      <c r="A19" s="106" t="s">
        <v>86</v>
      </c>
      <c r="B19" s="102"/>
      <c r="C19" s="102"/>
      <c r="D19" s="102"/>
      <c r="E19" s="102"/>
      <c r="F19" s="102"/>
      <c r="G19" s="102"/>
    </row>
    <row r="20" spans="1:7" ht="15" customHeight="1" x14ac:dyDescent="0.3">
      <c r="B20" s="13" t="s">
        <v>87</v>
      </c>
      <c r="C20" s="13" t="s">
        <v>54</v>
      </c>
      <c r="D20" s="13" t="s">
        <v>55</v>
      </c>
      <c r="E20" s="13" t="s">
        <v>56</v>
      </c>
      <c r="F20" s="13" t="s">
        <v>88</v>
      </c>
      <c r="G20" s="13" t="s">
        <v>89</v>
      </c>
    </row>
    <row r="21" spans="1:7" ht="15" customHeight="1" x14ac:dyDescent="0.3">
      <c r="B21" s="20" t="s">
        <v>90</v>
      </c>
      <c r="C21" s="21">
        <v>70</v>
      </c>
      <c r="D21" s="21">
        <v>190</v>
      </c>
      <c r="E21" s="21">
        <v>130</v>
      </c>
      <c r="F21" s="22">
        <f t="shared" ref="F21:F31" si="0">IF(COUNT(C21:E21)=0,"",SUM(C21:E21))</f>
        <v>390</v>
      </c>
    </row>
    <row r="22" spans="1:7" ht="15" customHeight="1" x14ac:dyDescent="0.3">
      <c r="B22" s="20" t="s">
        <v>91</v>
      </c>
      <c r="C22" s="21">
        <v>25</v>
      </c>
      <c r="D22" s="21">
        <v>35</v>
      </c>
      <c r="E22" s="21">
        <v>45</v>
      </c>
      <c r="F22" s="22">
        <f t="shared" si="0"/>
        <v>105</v>
      </c>
    </row>
    <row r="23" spans="1:7" ht="15" customHeight="1" x14ac:dyDescent="0.3">
      <c r="B23" s="23" t="s">
        <v>92</v>
      </c>
      <c r="C23" s="21">
        <v>45</v>
      </c>
      <c r="D23" s="21">
        <v>155</v>
      </c>
      <c r="E23" s="21">
        <v>85</v>
      </c>
      <c r="F23" s="24">
        <f t="shared" si="0"/>
        <v>285</v>
      </c>
      <c r="G23" s="25" t="str">
        <f>IF(COUNT(C21:E21,C22:E22,C23:E23)&lt;9,"Chưa điền",IF(AND(ABS(C23-(C21-C22))&lt;0.01,ABS(D23-(D21-D22))&lt;0.01,ABS(E23-(E21-E22))&lt;0.01),"Đạt","Xem lại phép trừ"))</f>
        <v>Đạt</v>
      </c>
    </row>
    <row r="24" spans="1:7" ht="15" customHeight="1" x14ac:dyDescent="0.3">
      <c r="B24" s="20" t="s">
        <v>93</v>
      </c>
      <c r="C24" s="21">
        <v>140</v>
      </c>
      <c r="D24" s="21">
        <v>140</v>
      </c>
      <c r="E24" s="21">
        <v>140</v>
      </c>
      <c r="F24" s="22">
        <f t="shared" si="0"/>
        <v>420</v>
      </c>
    </row>
    <row r="25" spans="1:7" ht="15" customHeight="1" x14ac:dyDescent="0.3">
      <c r="B25" s="23" t="s">
        <v>94</v>
      </c>
      <c r="C25" s="21">
        <v>-95</v>
      </c>
      <c r="D25" s="21">
        <v>15</v>
      </c>
      <c r="E25" s="21">
        <v>-55</v>
      </c>
      <c r="F25" s="24">
        <f t="shared" si="0"/>
        <v>-135</v>
      </c>
      <c r="G25" s="25" t="str">
        <f>IF(COUNT(C23:E23,C24:E24,C25:E25)&lt;9,"Chưa điền",IF(AND(ABS(C25-(C23-C24))&lt;0.01,ABS(D25-(D23-D24))&lt;0.01,ABS(E25-(E23-E24))&lt;0.01),"Đạt","Xem lại phép trừ"))</f>
        <v>Đạt</v>
      </c>
    </row>
    <row r="26" spans="1:7" ht="15" customHeight="1" x14ac:dyDescent="0.3">
      <c r="B26" s="20" t="s">
        <v>95</v>
      </c>
      <c r="C26" s="21">
        <v>10</v>
      </c>
      <c r="D26" s="21">
        <v>10</v>
      </c>
      <c r="E26" s="21">
        <v>10</v>
      </c>
      <c r="F26" s="22">
        <f t="shared" si="0"/>
        <v>30</v>
      </c>
    </row>
    <row r="27" spans="1:7" ht="15" customHeight="1" x14ac:dyDescent="0.3">
      <c r="B27" s="23" t="s">
        <v>96</v>
      </c>
      <c r="C27" s="21">
        <v>-105</v>
      </c>
      <c r="D27" s="21">
        <v>5</v>
      </c>
      <c r="E27" s="21">
        <v>-65</v>
      </c>
      <c r="F27" s="24">
        <f t="shared" si="0"/>
        <v>-165</v>
      </c>
      <c r="G27" s="25" t="str">
        <f>IF(COUNT(C25:E25,C26:E26,C27:E27)&lt;9,"Chưa điền",IF(AND(ABS(C27-(C25-C26))&lt;0.01,ABS(D27-(D25-D26))&lt;0.01,ABS(E27-(E25-E26))&lt;0.01),"Đạt","Xem lại phép trừ"))</f>
        <v>Đạt</v>
      </c>
    </row>
    <row r="28" spans="1:7" ht="15" customHeight="1" x14ac:dyDescent="0.3">
      <c r="B28" s="20" t="s">
        <v>97</v>
      </c>
      <c r="C28" s="21">
        <v>3</v>
      </c>
      <c r="D28" s="21">
        <v>3</v>
      </c>
      <c r="E28" s="21">
        <v>3</v>
      </c>
      <c r="F28" s="22">
        <f t="shared" si="0"/>
        <v>9</v>
      </c>
    </row>
    <row r="29" spans="1:7" ht="15" customHeight="1" x14ac:dyDescent="0.3">
      <c r="B29" s="23" t="s">
        <v>98</v>
      </c>
      <c r="C29" s="21">
        <v>-108</v>
      </c>
      <c r="D29" s="21">
        <v>2</v>
      </c>
      <c r="E29" s="21">
        <v>-68</v>
      </c>
      <c r="F29" s="24">
        <f t="shared" si="0"/>
        <v>-174</v>
      </c>
      <c r="G29" s="25" t="str">
        <f>IF(COUNT(C27:E27,C28:E28,C29:E29)&lt;9,"Chưa điền",IF(AND(ABS(C29-(C27-C28))&lt;0.01,ABS(D29-(D27-D28))&lt;0.01,ABS(E29-(E27-E28))&lt;0.01),"Đạt","Xem lại phép trừ"))</f>
        <v>Đạt</v>
      </c>
    </row>
    <row r="30" spans="1:7" ht="15" customHeight="1" x14ac:dyDescent="0.3">
      <c r="B30" s="20" t="s">
        <v>83</v>
      </c>
      <c r="C30" s="21">
        <v>0</v>
      </c>
      <c r="D30" s="21">
        <v>0</v>
      </c>
      <c r="E30" s="21">
        <v>0</v>
      </c>
      <c r="F30" s="22">
        <f t="shared" si="0"/>
        <v>0</v>
      </c>
    </row>
    <row r="31" spans="1:7" ht="15" customHeight="1" x14ac:dyDescent="0.3">
      <c r="B31" s="23" t="s">
        <v>99</v>
      </c>
      <c r="C31" s="21">
        <v>-108</v>
      </c>
      <c r="D31" s="21">
        <v>2</v>
      </c>
      <c r="E31" s="21">
        <v>-68</v>
      </c>
      <c r="F31" s="24">
        <f t="shared" si="0"/>
        <v>-174</v>
      </c>
      <c r="G31" s="25" t="str">
        <f>IF(COUNT(C29:E29,C30:E30,C31:E31)&lt;9,"Chưa điền",IF(AND(ABS(C31-(C29-C30))&lt;0.01,ABS(D31-(D29-D30))&lt;0.01,ABS(E31-(E29-E30))&lt;0.01),"Đạt","Xem lại phép trừ"))</f>
        <v>Đạt</v>
      </c>
    </row>
    <row r="32" spans="1:7" ht="15" customHeight="1" x14ac:dyDescent="0.3">
      <c r="B32" s="20" t="s">
        <v>100</v>
      </c>
      <c r="C32" s="26">
        <f>IFERROR(C23/C21,"")</f>
        <v>0.6428571428571429</v>
      </c>
      <c r="D32" s="26">
        <f>IFERROR(D23/D21,"")</f>
        <v>0.81578947368421051</v>
      </c>
      <c r="E32" s="26">
        <f>IFERROR(E23/E21,"")</f>
        <v>0.65384615384615385</v>
      </c>
      <c r="F32" s="26">
        <f>IFERROR(F23/F21,"")</f>
        <v>0.73076923076923073</v>
      </c>
    </row>
    <row r="33" spans="1:7" ht="45" customHeight="1" x14ac:dyDescent="0.3">
      <c r="B33" s="27" t="s">
        <v>101</v>
      </c>
      <c r="G33" s="28" t="str">
        <f>IF(COUNT(C31:E31)&lt;3,"Chưa điền",IF(ABS(F31+174)&lt;0.01,"Đạt: đã ghi theo kỳ","Chưa đúng: có giao dịch đang ghi theo ngày tiền vào ra (xem cột G, dòng 7–17)"))</f>
        <v>Đạt: đã ghi theo kỳ</v>
      </c>
    </row>
    <row r="34" spans="1:7" ht="16.5" customHeight="1" x14ac:dyDescent="0.3">
      <c r="A34" s="106" t="s">
        <v>102</v>
      </c>
      <c r="B34" s="102"/>
      <c r="C34" s="102"/>
      <c r="D34" s="102"/>
      <c r="E34" s="102"/>
      <c r="F34" s="102"/>
      <c r="G34" s="102"/>
    </row>
    <row r="35" spans="1:7" ht="15" customHeight="1" x14ac:dyDescent="0.3">
      <c r="B35" s="13" t="s">
        <v>87</v>
      </c>
      <c r="C35" s="13" t="s">
        <v>103</v>
      </c>
      <c r="G35" s="13" t="s">
        <v>89</v>
      </c>
    </row>
    <row r="36" spans="1:7" ht="15" customHeight="1" x14ac:dyDescent="0.3">
      <c r="B36" s="4" t="s">
        <v>104</v>
      </c>
    </row>
    <row r="37" spans="1:7" ht="15" customHeight="1" x14ac:dyDescent="0.3">
      <c r="B37" s="20" t="s">
        <v>105</v>
      </c>
      <c r="C37" s="21">
        <v>921</v>
      </c>
    </row>
    <row r="38" spans="1:7" ht="15" customHeight="1" x14ac:dyDescent="0.3">
      <c r="B38" s="20" t="s">
        <v>106</v>
      </c>
      <c r="C38" s="21">
        <v>90</v>
      </c>
    </row>
    <row r="39" spans="1:7" ht="15" customHeight="1" x14ac:dyDescent="0.3">
      <c r="B39" s="20" t="s">
        <v>107</v>
      </c>
      <c r="C39" s="21">
        <v>360</v>
      </c>
    </row>
    <row r="40" spans="1:7" ht="15" customHeight="1" x14ac:dyDescent="0.3">
      <c r="B40" s="20" t="s">
        <v>108</v>
      </c>
      <c r="C40" s="21">
        <v>-30</v>
      </c>
    </row>
    <row r="41" spans="1:7" ht="15" customHeight="1" x14ac:dyDescent="0.3">
      <c r="B41" s="23" t="s">
        <v>109</v>
      </c>
      <c r="C41" s="21">
        <v>1341</v>
      </c>
      <c r="G41" s="25" t="str">
        <f>IF(COUNT(C37:C41)&lt;5,"Chưa điền",IF(ABS(C41-SUM(C37:C40))&lt;0.01,"Đạt","Xem lại phép cộng"))</f>
        <v>Đạt</v>
      </c>
    </row>
    <row r="42" spans="1:7" ht="15" customHeight="1" x14ac:dyDescent="0.3">
      <c r="B42" s="4" t="s">
        <v>110</v>
      </c>
    </row>
    <row r="43" spans="1:7" ht="15" customHeight="1" x14ac:dyDescent="0.3">
      <c r="B43" s="20" t="s">
        <v>111</v>
      </c>
      <c r="C43" s="21">
        <v>35</v>
      </c>
    </row>
    <row r="44" spans="1:7" ht="15" customHeight="1" x14ac:dyDescent="0.3">
      <c r="B44" s="20" t="s">
        <v>112</v>
      </c>
      <c r="C44" s="21">
        <v>180</v>
      </c>
    </row>
    <row r="45" spans="1:7" ht="15" customHeight="1" x14ac:dyDescent="0.3">
      <c r="B45" s="20" t="s">
        <v>113</v>
      </c>
      <c r="C45" s="21">
        <v>300</v>
      </c>
    </row>
    <row r="46" spans="1:7" ht="15" customHeight="1" x14ac:dyDescent="0.3">
      <c r="B46" s="23" t="s">
        <v>114</v>
      </c>
      <c r="C46" s="21">
        <v>515</v>
      </c>
      <c r="G46" s="25" t="str">
        <f>IF(COUNT(C43:C46)&lt;4,"Chưa điền",IF(ABS(C46-SUM(C43:C45))&lt;0.01,"Đạt","Xem lại phép cộng"))</f>
        <v>Đạt</v>
      </c>
    </row>
    <row r="47" spans="1:7" ht="15" customHeight="1" x14ac:dyDescent="0.3">
      <c r="B47" s="4" t="s">
        <v>115</v>
      </c>
    </row>
    <row r="48" spans="1:7" ht="15" customHeight="1" x14ac:dyDescent="0.3">
      <c r="B48" s="20" t="s">
        <v>116</v>
      </c>
      <c r="C48" s="21">
        <v>1000</v>
      </c>
    </row>
    <row r="49" spans="1:7" ht="15" customHeight="1" x14ac:dyDescent="0.3">
      <c r="B49" s="20" t="s">
        <v>117</v>
      </c>
      <c r="C49" s="21">
        <v>-174</v>
      </c>
    </row>
    <row r="50" spans="1:7" ht="15" customHeight="1" x14ac:dyDescent="0.3">
      <c r="B50" s="23" t="s">
        <v>118</v>
      </c>
      <c r="C50" s="21">
        <v>826</v>
      </c>
      <c r="G50" s="25" t="str">
        <f>IF(COUNT(C48:C50)&lt;3,"Chưa điền",IF(ABS(C50-SUM(C48:C49))&lt;0.01,"Đạt","Xem lại phép cộng"))</f>
        <v>Đạt</v>
      </c>
    </row>
    <row r="51" spans="1:7" ht="15" customHeight="1" x14ac:dyDescent="0.3">
      <c r="B51" s="20" t="s">
        <v>119</v>
      </c>
      <c r="C51" s="21">
        <v>1341</v>
      </c>
      <c r="G51" s="25" t="str">
        <f>IF(COUNT(C46,C50,C51)&lt;3,"Chưa điền",IF(ABS(C51-(C46+C50))&lt;0.01,"Đạt","Xem lại phép cộng"))</f>
        <v>Đạt</v>
      </c>
    </row>
    <row r="52" spans="1:7" ht="15" customHeight="1" x14ac:dyDescent="0.3">
      <c r="B52" s="23" t="s">
        <v>120</v>
      </c>
      <c r="G52" s="29" t="str">
        <f>IF(COUNT(C41,C51)&lt;2,"Chưa điền",IF(ABS(C41-C51)&lt;0.01,"Đạt: bảng đã cân","Chưa cân: tìm khoản ghi sai"))</f>
        <v>Đạt: bảng đã cân</v>
      </c>
    </row>
    <row r="53" spans="1:7" ht="15" customHeight="1" x14ac:dyDescent="0.3">
      <c r="B53" s="23" t="s">
        <v>121</v>
      </c>
      <c r="G53" s="29" t="str">
        <f>IF(COUNT(C49,F31)&lt;2,"Chưa điền",IF(ABS(C49-F31)&lt;0.01,"Đạt","Chưa khớp bài 1"))</f>
        <v>Đạt</v>
      </c>
    </row>
    <row r="55" spans="1:7" ht="16.5" customHeight="1" x14ac:dyDescent="0.3">
      <c r="A55" s="106" t="s">
        <v>122</v>
      </c>
      <c r="B55" s="102"/>
      <c r="C55" s="102"/>
      <c r="D55" s="102"/>
      <c r="E55" s="102"/>
      <c r="F55" s="102"/>
      <c r="G55" s="102"/>
    </row>
    <row r="56" spans="1:7" ht="15" customHeight="1" x14ac:dyDescent="0.3">
      <c r="B56" s="13" t="s">
        <v>87</v>
      </c>
      <c r="C56" s="13" t="s">
        <v>103</v>
      </c>
      <c r="G56" s="13" t="s">
        <v>89</v>
      </c>
    </row>
    <row r="57" spans="1:7" ht="15" customHeight="1" x14ac:dyDescent="0.3">
      <c r="B57" s="20" t="s">
        <v>99</v>
      </c>
      <c r="C57" s="21">
        <v>-174</v>
      </c>
    </row>
    <row r="58" spans="1:7" ht="16.5" customHeight="1" x14ac:dyDescent="0.3">
      <c r="B58" s="30" t="s">
        <v>123</v>
      </c>
      <c r="C58" s="21">
        <v>30</v>
      </c>
    </row>
    <row r="59" spans="1:7" ht="31.5" customHeight="1" x14ac:dyDescent="0.3">
      <c r="B59" s="30" t="s">
        <v>124</v>
      </c>
      <c r="C59" s="21">
        <v>-90</v>
      </c>
    </row>
    <row r="60" spans="1:7" ht="31.5" customHeight="1" x14ac:dyDescent="0.3">
      <c r="B60" s="30" t="s">
        <v>125</v>
      </c>
      <c r="C60" s="21">
        <v>35</v>
      </c>
    </row>
    <row r="61" spans="1:7" ht="16.5" customHeight="1" x14ac:dyDescent="0.3">
      <c r="B61" s="30" t="s">
        <v>126</v>
      </c>
      <c r="C61" s="21">
        <v>180</v>
      </c>
    </row>
    <row r="62" spans="1:7" ht="15" customHeight="1" x14ac:dyDescent="0.3">
      <c r="B62" s="23" t="s">
        <v>127</v>
      </c>
      <c r="C62" s="21">
        <v>-19</v>
      </c>
      <c r="G62" s="25" t="str">
        <f>IF(COUNT(C57:C62)&lt;6,"Chưa điền",IF(ABS(C62-SUM(C57:C61))&lt;0.01,"Đạt","Xem lại phép cộng"))</f>
        <v>Đạt</v>
      </c>
    </row>
    <row r="63" spans="1:7" ht="15" customHeight="1" x14ac:dyDescent="0.3">
      <c r="B63" s="20" t="s">
        <v>128</v>
      </c>
      <c r="C63" s="21">
        <v>-360</v>
      </c>
    </row>
    <row r="64" spans="1:7" ht="15" customHeight="1" x14ac:dyDescent="0.3">
      <c r="B64" s="23" t="s">
        <v>129</v>
      </c>
      <c r="C64" s="21">
        <v>-360</v>
      </c>
      <c r="G64" s="25" t="str">
        <f>IF(COUNT(C63:C64)&lt;2,"Chưa điền",IF(ABS(C64-SUM(C63:C63))&lt;0.01,"Đạt","Xem lại phép cộng"))</f>
        <v>Đạt</v>
      </c>
    </row>
    <row r="65" spans="1:7" ht="15" customHeight="1" x14ac:dyDescent="0.3">
      <c r="B65" s="20" t="s">
        <v>130</v>
      </c>
      <c r="C65" s="21">
        <v>1000</v>
      </c>
    </row>
    <row r="66" spans="1:7" ht="15" customHeight="1" x14ac:dyDescent="0.3">
      <c r="B66" s="20" t="s">
        <v>131</v>
      </c>
      <c r="C66" s="21">
        <v>300</v>
      </c>
    </row>
    <row r="67" spans="1:7" ht="15" customHeight="1" x14ac:dyDescent="0.3">
      <c r="B67" s="23" t="s">
        <v>132</v>
      </c>
      <c r="C67" s="21">
        <v>1300</v>
      </c>
      <c r="G67" s="25" t="str">
        <f>IF(COUNT(C65:C67)&lt;3,"Chưa điền",IF(ABS(C67-SUM(C65:C66))&lt;0.01,"Đạt","Xem lại phép cộng"))</f>
        <v>Đạt</v>
      </c>
    </row>
    <row r="68" spans="1:7" ht="15" customHeight="1" x14ac:dyDescent="0.3">
      <c r="B68" s="23" t="s">
        <v>133</v>
      </c>
      <c r="C68" s="21">
        <v>921</v>
      </c>
      <c r="G68" s="25" t="str">
        <f>IF(COUNT(C62,C64,C67,C68)&lt;4,"Chưa điền",IF(ABS(C68-(C62+C64+C67))&lt;0.01,"Đạt","Xem lại phép cộng"))</f>
        <v>Đạt</v>
      </c>
    </row>
    <row r="69" spans="1:7" ht="15" customHeight="1" x14ac:dyDescent="0.3">
      <c r="B69" s="20" t="s">
        <v>134</v>
      </c>
      <c r="C69" s="31">
        <v>0</v>
      </c>
    </row>
    <row r="70" spans="1:7" ht="15" customHeight="1" x14ac:dyDescent="0.3">
      <c r="B70" s="23" t="s">
        <v>135</v>
      </c>
      <c r="C70" s="21">
        <v>921</v>
      </c>
      <c r="G70" s="25" t="str">
        <f>IF(COUNT(C68:C70)&lt;3,"Chưa điền",IF(ABS(C70-(C68+C69))&lt;0.01,"Đạt","Xem lại phép cộng"))</f>
        <v>Đạt</v>
      </c>
    </row>
    <row r="71" spans="1:7" ht="31.5" customHeight="1" x14ac:dyDescent="0.3">
      <c r="B71" s="23" t="s">
        <v>136</v>
      </c>
      <c r="G71" s="28" t="str">
        <f>IF(COUNT(C70,C37)&lt;2,"Chưa điền",IF(ABS(C70-C37)&lt;0.01,"Đạt: ba báo cáo đã khớp","Chưa khớp: soát dấu +/− ở dòng 58–66, rồi soát dòng Tiền ở bảng cân đối"))</f>
        <v>Đạt: ba báo cáo đã khớp</v>
      </c>
    </row>
    <row r="72" spans="1:7" ht="15" customHeight="1" x14ac:dyDescent="0.3">
      <c r="B72" s="23" t="s">
        <v>137</v>
      </c>
      <c r="G72" s="29" t="str">
        <f>IF(COUNT(C57,F31)&lt;2,"Chưa điền",IF(ABS(C57-F31)&lt;0.01,"Đạt","Chưa khớp bài 1"))</f>
        <v>Đạt</v>
      </c>
    </row>
    <row r="74" spans="1:7" ht="15" customHeight="1" x14ac:dyDescent="0.3">
      <c r="A74" s="4" t="s">
        <v>138</v>
      </c>
    </row>
    <row r="75" spans="1:7" ht="48" customHeight="1" x14ac:dyDescent="0.3">
      <c r="B75" s="30" t="s">
        <v>139</v>
      </c>
      <c r="C75" s="103" t="s">
        <v>140</v>
      </c>
      <c r="D75" s="104"/>
      <c r="E75" s="104"/>
      <c r="F75" s="104"/>
      <c r="G75" s="105"/>
    </row>
    <row r="76" spans="1:7" ht="48" customHeight="1" x14ac:dyDescent="0.3">
      <c r="B76" s="30" t="s">
        <v>141</v>
      </c>
      <c r="C76" s="103" t="s">
        <v>142</v>
      </c>
      <c r="D76" s="104"/>
      <c r="E76" s="104"/>
      <c r="F76" s="104"/>
      <c r="G76" s="105"/>
    </row>
    <row r="77" spans="1:7" ht="48" customHeight="1" x14ac:dyDescent="0.3">
      <c r="B77" s="30" t="s">
        <v>143</v>
      </c>
      <c r="C77" s="103" t="s">
        <v>144</v>
      </c>
      <c r="D77" s="104"/>
      <c r="E77" s="104"/>
      <c r="F77" s="104"/>
      <c r="G77" s="105"/>
    </row>
    <row r="78" spans="1:7" ht="48" customHeight="1" x14ac:dyDescent="0.3">
      <c r="B78" s="30" t="s">
        <v>145</v>
      </c>
      <c r="C78" s="103" t="s">
        <v>146</v>
      </c>
      <c r="D78" s="104"/>
      <c r="E78" s="104"/>
      <c r="F78" s="104"/>
      <c r="G78" s="105"/>
    </row>
    <row r="80" spans="1:7" ht="15" customHeight="1" x14ac:dyDescent="0.3">
      <c r="A80" s="4" t="s">
        <v>147</v>
      </c>
    </row>
    <row r="81" spans="2:7" ht="31.5" customHeight="1" x14ac:dyDescent="0.3">
      <c r="B81" s="101" t="s">
        <v>148</v>
      </c>
      <c r="C81" s="102"/>
      <c r="D81" s="102"/>
      <c r="E81" s="102"/>
      <c r="F81" s="102"/>
      <c r="G81" s="102"/>
    </row>
    <row r="82" spans="2:7" ht="15" customHeight="1" x14ac:dyDescent="0.3">
      <c r="B82" s="20" t="s">
        <v>149</v>
      </c>
      <c r="C82" s="31">
        <v>360</v>
      </c>
    </row>
    <row r="83" spans="2:7" ht="15" customHeight="1" x14ac:dyDescent="0.3">
      <c r="B83" s="20" t="s">
        <v>150</v>
      </c>
      <c r="C83" s="31">
        <v>12</v>
      </c>
    </row>
    <row r="84" spans="2:7" ht="15" customHeight="1" x14ac:dyDescent="0.3">
      <c r="B84" s="20" t="s">
        <v>151</v>
      </c>
      <c r="C84" s="31">
        <v>36</v>
      </c>
    </row>
    <row r="85" spans="2:7" ht="15" customHeight="1" x14ac:dyDescent="0.3">
      <c r="B85" s="20" t="s">
        <v>152</v>
      </c>
      <c r="C85" s="32">
        <v>0.15</v>
      </c>
    </row>
    <row r="86" spans="2:7" ht="46.5" customHeight="1" x14ac:dyDescent="0.3">
      <c r="B86" s="30" t="s">
        <v>153</v>
      </c>
      <c r="C86" s="33">
        <f>PV(C85/12, C84, -C83)</f>
        <v>346.16720849906619</v>
      </c>
      <c r="G86" s="25" t="str">
        <f>IF(C86="","Chưa điền",IF(ABS(C86-PV(C85/12,C84,-C83))&lt;1,"Đạt","Xem lại"))</f>
        <v>Đạt</v>
      </c>
    </row>
    <row r="87" spans="2:7" ht="15" customHeight="1" x14ac:dyDescent="0.3">
      <c r="B87" s="20" t="s">
        <v>154</v>
      </c>
      <c r="C87" s="34" t="s">
        <v>155</v>
      </c>
      <c r="G87" s="25" t="str">
        <f>IF(C87="","Chưa điền",IF(C87=IF(PV(C85/12,C84,-C83)&lt;C82,"Thuê","Mua"),"Đạt","Xem lại"))</f>
        <v>Đạt</v>
      </c>
    </row>
    <row r="88" spans="2:7" ht="31.5" customHeight="1" x14ac:dyDescent="0.3">
      <c r="B88" s="30" t="s">
        <v>156</v>
      </c>
      <c r="C88" s="33">
        <f>PV(0.08/12, C84, -C83)</f>
        <v>382.94166612173467</v>
      </c>
      <c r="G88" s="25" t="str">
        <f>IF(C88="","Chưa điền",IF(ABS(C88-PV(0.08/12,C84,-C83))&lt;1,"Đạt","Xem lại"))</f>
        <v>Đạt</v>
      </c>
    </row>
    <row r="89" spans="2:7" ht="15" customHeight="1" x14ac:dyDescent="0.3">
      <c r="B89" s="20" t="s">
        <v>157</v>
      </c>
      <c r="C89" s="34" t="s">
        <v>158</v>
      </c>
      <c r="G89" s="25" t="str">
        <f>IF(C89="","Chưa điền",IF(C89=IF(PV(0.08/12,C84,-C83)&lt;C82,"Thuê","Mua"),"Đạt","Xem lại"))</f>
        <v>Đạt</v>
      </c>
    </row>
  </sheetData>
  <sheetProtection sheet="1" formatColumns="0" formatRows="0"/>
  <mergeCells count="9">
    <mergeCell ref="B81:G81"/>
    <mergeCell ref="C77:G77"/>
    <mergeCell ref="A3:G3"/>
    <mergeCell ref="A34:G34"/>
    <mergeCell ref="A55:G55"/>
    <mergeCell ref="C76:G76"/>
    <mergeCell ref="C75:G75"/>
    <mergeCell ref="A19:G19"/>
    <mergeCell ref="C78:G78"/>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defaultColWidth="8.6640625" defaultRowHeight="14.4" x14ac:dyDescent="0.3"/>
  <cols>
    <col min="1" max="1" width="48" customWidth="1"/>
    <col min="2" max="2" width="22" customWidth="1"/>
    <col min="3" max="3" width="18" customWidth="1"/>
    <col min="4" max="4" width="60" customWidth="1"/>
    <col min="5" max="5" width="64" customWidth="1"/>
  </cols>
  <sheetData>
    <row r="1" spans="1:5" ht="17.25" customHeight="1" x14ac:dyDescent="0.3">
      <c r="A1" s="1" t="s">
        <v>159</v>
      </c>
    </row>
    <row r="2" spans="1:5" ht="15" customHeight="1" x14ac:dyDescent="0.3">
      <c r="A2" s="8" t="s">
        <v>160</v>
      </c>
    </row>
    <row r="3" spans="1:5" ht="31.5" customHeight="1" x14ac:dyDescent="0.3">
      <c r="A3" s="107" t="s">
        <v>161</v>
      </c>
      <c r="B3" s="102"/>
      <c r="C3" s="102"/>
      <c r="D3" s="102"/>
      <c r="E3" s="102"/>
    </row>
    <row r="4" spans="1:5" ht="15" customHeight="1" x14ac:dyDescent="0.3">
      <c r="A4" s="13" t="s">
        <v>162</v>
      </c>
      <c r="B4" s="13" t="s">
        <v>163</v>
      </c>
      <c r="C4" s="13" t="s">
        <v>164</v>
      </c>
      <c r="D4" s="13" t="s">
        <v>165</v>
      </c>
      <c r="E4" s="13" t="s">
        <v>166</v>
      </c>
    </row>
    <row r="5" spans="1:5" ht="30" customHeight="1" x14ac:dyDescent="0.3">
      <c r="A5" s="35" t="s">
        <v>167</v>
      </c>
      <c r="B5" s="36" t="s">
        <v>168</v>
      </c>
      <c r="C5" s="37"/>
      <c r="D5" s="38" t="s">
        <v>169</v>
      </c>
      <c r="E5" s="39" t="s">
        <v>170</v>
      </c>
    </row>
    <row r="6" spans="1:5" ht="30" customHeight="1" x14ac:dyDescent="0.3">
      <c r="A6" s="35" t="s">
        <v>171</v>
      </c>
      <c r="B6" s="40">
        <v>2</v>
      </c>
      <c r="C6" s="37" t="s">
        <v>172</v>
      </c>
      <c r="D6" s="38" t="s">
        <v>173</v>
      </c>
      <c r="E6" s="39" t="s">
        <v>174</v>
      </c>
    </row>
    <row r="7" spans="1:5" ht="43.5" customHeight="1" x14ac:dyDescent="0.3">
      <c r="A7" s="35" t="s">
        <v>175</v>
      </c>
      <c r="B7" s="40">
        <v>3000</v>
      </c>
      <c r="C7" s="37" t="s">
        <v>176</v>
      </c>
      <c r="D7" s="38" t="s">
        <v>177</v>
      </c>
      <c r="E7" s="39" t="s">
        <v>178</v>
      </c>
    </row>
    <row r="8" spans="1:5" ht="15.75" customHeight="1" x14ac:dyDescent="0.3">
      <c r="A8" s="35" t="s">
        <v>179</v>
      </c>
      <c r="B8" s="40">
        <v>800</v>
      </c>
      <c r="C8" s="37" t="s">
        <v>176</v>
      </c>
      <c r="D8" s="38" t="s">
        <v>180</v>
      </c>
      <c r="E8" s="39" t="s">
        <v>181</v>
      </c>
    </row>
    <row r="9" spans="1:5" ht="43.5" customHeight="1" x14ac:dyDescent="0.3">
      <c r="A9" s="35" t="s">
        <v>182</v>
      </c>
      <c r="B9" s="40">
        <v>2</v>
      </c>
      <c r="C9" s="37" t="s">
        <v>183</v>
      </c>
      <c r="D9" s="38" t="s">
        <v>184</v>
      </c>
      <c r="E9" s="39" t="s">
        <v>185</v>
      </c>
    </row>
    <row r="10" spans="1:5" ht="30" customHeight="1" x14ac:dyDescent="0.3">
      <c r="A10" s="35" t="s">
        <v>186</v>
      </c>
      <c r="B10" s="40">
        <v>10</v>
      </c>
      <c r="C10" s="37" t="s">
        <v>183</v>
      </c>
      <c r="D10" s="38" t="s">
        <v>187</v>
      </c>
      <c r="E10" s="39" t="s">
        <v>188</v>
      </c>
    </row>
    <row r="11" spans="1:5" ht="30" customHeight="1" x14ac:dyDescent="0.3">
      <c r="A11" s="35" t="s">
        <v>189</v>
      </c>
      <c r="B11" s="40">
        <v>26170</v>
      </c>
      <c r="C11" s="37" t="s">
        <v>190</v>
      </c>
      <c r="D11" s="38" t="s">
        <v>191</v>
      </c>
      <c r="E11" s="39" t="s">
        <v>192</v>
      </c>
    </row>
    <row r="12" spans="1:5" ht="30" customHeight="1" x14ac:dyDescent="0.3">
      <c r="A12" s="35" t="s">
        <v>193</v>
      </c>
      <c r="B12" s="41">
        <v>0.05</v>
      </c>
      <c r="C12" s="37" t="s">
        <v>194</v>
      </c>
      <c r="D12" s="38" t="s">
        <v>195</v>
      </c>
      <c r="E12" s="39" t="s">
        <v>196</v>
      </c>
    </row>
    <row r="13" spans="1:5" ht="43.5" customHeight="1" x14ac:dyDescent="0.3">
      <c r="A13" s="35" t="s">
        <v>197</v>
      </c>
      <c r="B13" s="40">
        <v>80</v>
      </c>
      <c r="C13" s="37" t="s">
        <v>198</v>
      </c>
      <c r="D13" s="38" t="s">
        <v>199</v>
      </c>
      <c r="E13" s="39" t="s">
        <v>200</v>
      </c>
    </row>
    <row r="14" spans="1:5" ht="30" customHeight="1" x14ac:dyDescent="0.3">
      <c r="A14" s="35" t="s">
        <v>201</v>
      </c>
      <c r="B14" s="41">
        <v>0.1</v>
      </c>
      <c r="C14" s="37" t="s">
        <v>194</v>
      </c>
      <c r="D14" s="38" t="s">
        <v>202</v>
      </c>
      <c r="E14" s="39" t="s">
        <v>203</v>
      </c>
    </row>
    <row r="15" spans="1:5" ht="15.75" customHeight="1" x14ac:dyDescent="0.3">
      <c r="A15" s="35" t="s">
        <v>204</v>
      </c>
      <c r="B15" s="40">
        <v>3</v>
      </c>
      <c r="C15" s="37" t="s">
        <v>205</v>
      </c>
      <c r="D15" s="38" t="s">
        <v>206</v>
      </c>
      <c r="E15" s="39" t="s">
        <v>207</v>
      </c>
    </row>
    <row r="16" spans="1:5" ht="30" customHeight="1" x14ac:dyDescent="0.3">
      <c r="A16" s="35" t="s">
        <v>208</v>
      </c>
      <c r="B16" s="40">
        <v>120000</v>
      </c>
      <c r="C16" s="37" t="s">
        <v>209</v>
      </c>
      <c r="D16" s="38" t="s">
        <v>210</v>
      </c>
      <c r="E16" s="39" t="s">
        <v>211</v>
      </c>
    </row>
    <row r="17" spans="1:5" ht="30" customHeight="1" x14ac:dyDescent="0.3">
      <c r="A17" s="35" t="s">
        <v>212</v>
      </c>
      <c r="B17" s="40">
        <v>150</v>
      </c>
      <c r="C17" s="37" t="s">
        <v>198</v>
      </c>
      <c r="D17" s="38" t="s">
        <v>213</v>
      </c>
      <c r="E17" s="39" t="s">
        <v>214</v>
      </c>
    </row>
    <row r="18" spans="1:5" ht="15.75" customHeight="1" x14ac:dyDescent="0.3">
      <c r="A18" s="35" t="s">
        <v>215</v>
      </c>
      <c r="B18" s="40">
        <v>20</v>
      </c>
      <c r="C18" s="37" t="s">
        <v>198</v>
      </c>
      <c r="D18" s="38" t="s">
        <v>216</v>
      </c>
      <c r="E18" s="39" t="s">
        <v>217</v>
      </c>
    </row>
    <row r="20" spans="1:5" ht="15" customHeight="1" x14ac:dyDescent="0.3">
      <c r="A20" s="4" t="s">
        <v>218</v>
      </c>
    </row>
    <row r="21" spans="1:5" ht="15" customHeight="1" x14ac:dyDescent="0.3">
      <c r="A21" s="42" t="s">
        <v>219</v>
      </c>
      <c r="B21" s="43">
        <f>IFERROR(B6*(B7*B9+B8*B10)/1000000*B11*(1+B12),0)</f>
        <v>769.39800000000002</v>
      </c>
    </row>
    <row r="22" spans="1:5" ht="15" customHeight="1" x14ac:dyDescent="0.3">
      <c r="A22" s="42" t="s">
        <v>220</v>
      </c>
      <c r="B22" s="43">
        <f>IFERROR(B14*B15/60*B16,0)</f>
        <v>600.00000000000011</v>
      </c>
    </row>
    <row r="23" spans="1:5" ht="15" customHeight="1" x14ac:dyDescent="0.3">
      <c r="A23" s="42" t="s">
        <v>221</v>
      </c>
      <c r="B23" s="43">
        <f>B13+B17+B18</f>
        <v>250</v>
      </c>
    </row>
    <row r="24" spans="1:5" ht="15.75" customHeight="1" x14ac:dyDescent="0.3">
      <c r="A24" s="42" t="s">
        <v>222</v>
      </c>
      <c r="B24" s="44">
        <f>B21+B22+B23</f>
        <v>1619.3980000000001</v>
      </c>
      <c r="E24" s="12" t="s">
        <v>223</v>
      </c>
    </row>
    <row r="25" spans="1:5" ht="15" customHeight="1" x14ac:dyDescent="0.3">
      <c r="A25" s="42" t="s">
        <v>224</v>
      </c>
      <c r="B25" s="45">
        <f>IFERROR((B24-B21)/B21,0)</f>
        <v>1.1047598252139985</v>
      </c>
      <c r="C25" s="46" t="s">
        <v>225</v>
      </c>
    </row>
    <row r="26" spans="1:5" ht="15" customHeight="1" x14ac:dyDescent="0.3">
      <c r="A26" s="42" t="s">
        <v>226</v>
      </c>
      <c r="B26" s="43">
        <f>3*B24</f>
        <v>4858.1940000000004</v>
      </c>
      <c r="C26" s="46" t="s">
        <v>227</v>
      </c>
    </row>
    <row r="27" spans="1:5" ht="15" customHeight="1" x14ac:dyDescent="0.3">
      <c r="A27" s="42" t="s">
        <v>228</v>
      </c>
      <c r="B27" s="43">
        <f>B24/(1-0.6)</f>
        <v>4048.4950000000003</v>
      </c>
      <c r="C27" s="46" t="s">
        <v>229</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defaultColWidth="8.6640625" defaultRowHeight="14.4" x14ac:dyDescent="0.3"/>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3">
      <c r="A1" s="1" t="s">
        <v>230</v>
      </c>
    </row>
    <row r="2" spans="1:9" ht="15" customHeight="1" x14ac:dyDescent="0.3">
      <c r="A2" s="8" t="s">
        <v>231</v>
      </c>
    </row>
    <row r="4" spans="1:9" ht="15" customHeight="1" x14ac:dyDescent="0.3">
      <c r="A4" s="13" t="s">
        <v>232</v>
      </c>
      <c r="B4" s="13" t="s">
        <v>163</v>
      </c>
      <c r="C4" s="13" t="s">
        <v>57</v>
      </c>
      <c r="D4" s="13" t="s">
        <v>165</v>
      </c>
    </row>
    <row r="5" spans="1:9" ht="48" customHeight="1" x14ac:dyDescent="0.3">
      <c r="A5" s="10" t="s">
        <v>233</v>
      </c>
      <c r="B5" s="47" t="s">
        <v>234</v>
      </c>
      <c r="C5" s="3" t="s">
        <v>235</v>
      </c>
      <c r="D5" s="48" t="s">
        <v>236</v>
      </c>
    </row>
    <row r="6" spans="1:9" ht="63" customHeight="1" x14ac:dyDescent="0.3">
      <c r="A6" s="10" t="s">
        <v>237</v>
      </c>
      <c r="B6" s="47" t="s">
        <v>238</v>
      </c>
      <c r="C6" s="3" t="s">
        <v>239</v>
      </c>
      <c r="D6" s="48" t="s">
        <v>240</v>
      </c>
    </row>
    <row r="7" spans="1:9" ht="48" customHeight="1" x14ac:dyDescent="0.3">
      <c r="A7" s="10" t="s">
        <v>241</v>
      </c>
      <c r="B7" s="47" t="s">
        <v>242</v>
      </c>
      <c r="D7" s="48" t="s">
        <v>243</v>
      </c>
    </row>
    <row r="8" spans="1:9" ht="48" customHeight="1" x14ac:dyDescent="0.3">
      <c r="A8" s="10" t="s">
        <v>244</v>
      </c>
      <c r="B8" s="47" t="s">
        <v>245</v>
      </c>
      <c r="C8" s="3" t="s">
        <v>246</v>
      </c>
      <c r="D8" s="48" t="s">
        <v>247</v>
      </c>
    </row>
    <row r="9" spans="1:9" ht="15" customHeight="1" x14ac:dyDescent="0.3">
      <c r="A9" s="42" t="s">
        <v>248</v>
      </c>
      <c r="B9" s="49">
        <v>3900000</v>
      </c>
      <c r="C9" t="s">
        <v>198</v>
      </c>
      <c r="D9" s="48" t="s">
        <v>249</v>
      </c>
    </row>
    <row r="10" spans="1:9" ht="15" customHeight="1" x14ac:dyDescent="0.3">
      <c r="A10" s="42" t="s">
        <v>250</v>
      </c>
      <c r="B10" s="49">
        <v>600</v>
      </c>
      <c r="C10" t="s">
        <v>251</v>
      </c>
      <c r="D10" s="48" t="s">
        <v>252</v>
      </c>
    </row>
    <row r="11" spans="1:9" ht="15" customHeight="1" x14ac:dyDescent="0.3">
      <c r="A11" s="42" t="s">
        <v>253</v>
      </c>
      <c r="B11" s="49">
        <v>5500</v>
      </c>
      <c r="C11" t="s">
        <v>254</v>
      </c>
      <c r="D11" s="48" t="s">
        <v>255</v>
      </c>
    </row>
    <row r="12" spans="1:9" ht="31.5" customHeight="1" x14ac:dyDescent="0.3">
      <c r="A12" s="10" t="s">
        <v>256</v>
      </c>
      <c r="B12" s="49">
        <v>3900000</v>
      </c>
      <c r="C12" t="s">
        <v>257</v>
      </c>
      <c r="D12" s="48" t="s">
        <v>258</v>
      </c>
    </row>
    <row r="14" spans="1:9" ht="46.5" customHeight="1" x14ac:dyDescent="0.3">
      <c r="A14" s="13" t="s">
        <v>259</v>
      </c>
      <c r="B14" s="50" t="s">
        <v>260</v>
      </c>
      <c r="C14" s="50" t="s">
        <v>261</v>
      </c>
      <c r="D14" s="13" t="s">
        <v>262</v>
      </c>
      <c r="E14" s="50" t="s">
        <v>263</v>
      </c>
      <c r="F14" s="13" t="s">
        <v>264</v>
      </c>
      <c r="G14" s="13" t="s">
        <v>265</v>
      </c>
      <c r="H14" s="13" t="s">
        <v>266</v>
      </c>
      <c r="I14" s="13" t="s">
        <v>165</v>
      </c>
    </row>
    <row r="15" spans="1:9" ht="15" customHeight="1" x14ac:dyDescent="0.3">
      <c r="A15" s="42" t="s">
        <v>267</v>
      </c>
      <c r="B15" s="51">
        <v>0.75</v>
      </c>
      <c r="C15" s="52">
        <v>500</v>
      </c>
      <c r="D15" s="43">
        <f>B9+MAX(0,C15-B10)*B11</f>
        <v>3900000</v>
      </c>
      <c r="E15" s="43">
        <f>C15*'1_Chi phí mỗi việc'!B24</f>
        <v>809699.00000000012</v>
      </c>
      <c r="F15" s="45">
        <f>IFERROR((D15-E15)/D15,0)</f>
        <v>0.79238487179487183</v>
      </c>
      <c r="G15" s="43">
        <f>B12</f>
        <v>3900000</v>
      </c>
      <c r="H15" s="45">
        <f>IFERROR((G15-E15)/G15,0)</f>
        <v>0.79238487179487183</v>
      </c>
      <c r="I15" s="48" t="s">
        <v>268</v>
      </c>
    </row>
    <row r="16" spans="1:9" ht="15" customHeight="1" x14ac:dyDescent="0.3">
      <c r="A16" s="42" t="s">
        <v>269</v>
      </c>
      <c r="B16" s="51">
        <v>0.25</v>
      </c>
      <c r="C16" s="52">
        <v>2500</v>
      </c>
      <c r="D16" s="43">
        <f>B9+MAX(0,C16-B10)*B11</f>
        <v>14350000</v>
      </c>
      <c r="E16" s="43">
        <f>C16*'1_Chi phí mỗi việc'!B24</f>
        <v>4048495.0000000005</v>
      </c>
      <c r="F16" s="45">
        <f>IFERROR((D16-E16)/D16,0)</f>
        <v>0.71787491289198602</v>
      </c>
      <c r="G16" s="43">
        <f>B12</f>
        <v>3900000</v>
      </c>
      <c r="H16" s="45">
        <f>IFERROR((G16-E16)/G16,0)</f>
        <v>-3.8075641025641142E-2</v>
      </c>
      <c r="I16" s="48" t="s">
        <v>270</v>
      </c>
    </row>
    <row r="17" spans="1:8" ht="15" customHeight="1" x14ac:dyDescent="0.3">
      <c r="A17" s="4" t="s">
        <v>271</v>
      </c>
      <c r="B17" s="45">
        <f>B15+B16</f>
        <v>1</v>
      </c>
      <c r="C17" s="53">
        <f>SUMPRODUCT(B15:B16,C15:C16)</f>
        <v>1000</v>
      </c>
      <c r="D17" s="44">
        <f>SUMPRODUCT($B15:$B16,D15:D16)</f>
        <v>6512500</v>
      </c>
      <c r="E17" s="44">
        <f>SUMPRODUCT($B15:$B16,E15:E16)</f>
        <v>1619398.0000000002</v>
      </c>
      <c r="F17" s="54">
        <f>IFERROR((D17-E17)/D17,0)</f>
        <v>0.7513400383877159</v>
      </c>
      <c r="G17" s="44">
        <f>SUMPRODUCT($B15:$B16,G15:G16)</f>
        <v>3900000</v>
      </c>
      <c r="H17" s="54">
        <f>IFERROR((G17-E17)/G17,0)</f>
        <v>0.58476974358974354</v>
      </c>
    </row>
    <row r="18" spans="1:8" ht="15" customHeight="1" x14ac:dyDescent="0.3">
      <c r="A18" t="s">
        <v>272</v>
      </c>
      <c r="B18" s="55" t="str">
        <f>IF(B17=0,"Chưa điền",IF(ABS(B17-1)&lt;0.001,"Đạt","Sai: tổng khác 100%"))</f>
        <v>Đạt</v>
      </c>
    </row>
    <row r="19" spans="1:8" ht="15" customHeight="1" x14ac:dyDescent="0.3">
      <c r="A19" t="s">
        <v>273</v>
      </c>
      <c r="B19" s="55" t="str">
        <f>IF(B11=0,"Chưa điền",IF(B11&gt;='1_Chi phí mỗi việc'!B26,"Đạt","Thấp hơn giá sàn"))</f>
        <v>Đạt</v>
      </c>
    </row>
    <row r="21" spans="1:8" ht="15" customHeight="1" x14ac:dyDescent="0.3">
      <c r="A21" t="s">
        <v>274</v>
      </c>
      <c r="B21" s="54">
        <f>IFERROR(B16*D16/D17,0)</f>
        <v>0.55086372360844527</v>
      </c>
    </row>
    <row r="22" spans="1:8" ht="15" customHeight="1" x14ac:dyDescent="0.3">
      <c r="A22" t="s">
        <v>275</v>
      </c>
      <c r="B22" s="54">
        <f>IFERROR(B16*MAX(0,C16-B10)*B11/D17,0)</f>
        <v>0.40115163147792704</v>
      </c>
    </row>
    <row r="23" spans="1:8" ht="15" customHeight="1" x14ac:dyDescent="0.3">
      <c r="A23" t="s">
        <v>276</v>
      </c>
      <c r="B23" s="55" t="str">
        <f>IF(D17=0,"Chưa điền",IF(B21&gt;0.5,"Trên 50% doanh thu đến từ khách dùng nhiều: xem tình huống đặc biệt ở trang 5","Đạt"))</f>
        <v>Trên 50% doanh thu đến từ khách dùng nhiều: xem tình huống đặc biệt ở trang 5</v>
      </c>
    </row>
    <row r="25" spans="1:8" ht="15" customHeight="1" x14ac:dyDescent="0.3">
      <c r="A25" s="4" t="s">
        <v>277</v>
      </c>
    </row>
    <row r="26" spans="1:8" ht="15" customHeight="1" x14ac:dyDescent="0.3">
      <c r="A26" s="20" t="s">
        <v>278</v>
      </c>
      <c r="B26" s="21">
        <v>25000000</v>
      </c>
      <c r="C26" s="20" t="s">
        <v>257</v>
      </c>
      <c r="D26" s="34" t="s">
        <v>279</v>
      </c>
    </row>
    <row r="27" spans="1:8" ht="15" customHeight="1" x14ac:dyDescent="0.3">
      <c r="A27" s="20" t="s">
        <v>280</v>
      </c>
      <c r="B27" s="56">
        <v>0.2</v>
      </c>
      <c r="C27" s="20" t="s">
        <v>281</v>
      </c>
      <c r="D27" s="34" t="s">
        <v>282</v>
      </c>
    </row>
    <row r="28" spans="1:8" ht="45" customHeight="1" x14ac:dyDescent="0.3">
      <c r="A28" s="13" t="s">
        <v>259</v>
      </c>
      <c r="B28" s="13" t="s">
        <v>283</v>
      </c>
      <c r="C28" s="13" t="s">
        <v>284</v>
      </c>
      <c r="D28" s="13" t="s">
        <v>285</v>
      </c>
      <c r="E28" s="13" t="s">
        <v>286</v>
      </c>
      <c r="F28" s="13" t="s">
        <v>287</v>
      </c>
    </row>
    <row r="29" spans="1:8" ht="30" customHeight="1" x14ac:dyDescent="0.3">
      <c r="A29" s="20" t="s">
        <v>267</v>
      </c>
      <c r="B29" s="22">
        <f>D15</f>
        <v>3900000</v>
      </c>
      <c r="C29" s="26">
        <f>IFERROR(B29/$B$26,"")</f>
        <v>0.156</v>
      </c>
      <c r="D29" s="57" t="str">
        <f>IF(C29="","",IF(C29&lt;0.5,"Dưới 50%: còn dư địa",IF(C29&lt;=0.7,"Trong vùng 50–70%","Trên 70%: khách thà thuê người? Xem dòng 34")))</f>
        <v>Dưới 50%: còn dư địa</v>
      </c>
      <c r="E29" s="58">
        <f>IFERROR(E15/B29,"")</f>
        <v>0.20761512820512823</v>
      </c>
      <c r="F29" s="25" t="str">
        <f>IF(E29="","",IF(E29&lt;0.3,"Ổn (dưới 0,3)",IF(E29&lt;=0.6,"Đáng lo (0,3–0,6)","Nguy (trên 0,6)")))</f>
        <v>Ổn (dưới 0,3)</v>
      </c>
    </row>
    <row r="30" spans="1:8" ht="30" customHeight="1" x14ac:dyDescent="0.3">
      <c r="A30" s="20" t="s">
        <v>288</v>
      </c>
      <c r="B30" s="22">
        <f>D16</f>
        <v>14350000</v>
      </c>
      <c r="C30" s="26">
        <f>IFERROR(B30/$B$26,"")</f>
        <v>0.57399999999999995</v>
      </c>
      <c r="D30" s="57" t="str">
        <f>IF(C30="","",IF(C30&lt;0.5,"Dưới 50%: còn dư địa",IF(C30&lt;=0.7,"Trong vùng 50–70%","Trên 70%: khách thà thuê người? Xem dòng 34")))</f>
        <v>Trong vùng 50–70%</v>
      </c>
      <c r="E30" s="58">
        <f>IFERROR(E16/B30,"")</f>
        <v>0.28212508710801398</v>
      </c>
      <c r="F30" s="25" t="str">
        <f>IF(E30="","",IF(E30&lt;0.3,"Ổn (dưới 0,3)",IF(E30&lt;=0.6,"Đáng lo (0,3–0,6)","Nguy (trên 0,6)")))</f>
        <v>Ổn (dưới 0,3)</v>
      </c>
    </row>
    <row r="31" spans="1:8" ht="30" customHeight="1" x14ac:dyDescent="0.3">
      <c r="A31" s="20" t="s">
        <v>289</v>
      </c>
      <c r="B31" s="22">
        <f>G16</f>
        <v>3900000</v>
      </c>
      <c r="C31" s="26">
        <f>IFERROR(B31/$B$26,"")</f>
        <v>0.156</v>
      </c>
      <c r="D31" s="57" t="str">
        <f>IF(C31="","",IF(C31&lt;0.5,"Dưới 50%: còn dư địa",IF(C31&lt;=0.7,"Trong vùng 50–70%","Trên 70%: khách thà thuê người? Xem dòng 34")))</f>
        <v>Dưới 50%: còn dư địa</v>
      </c>
      <c r="E31" s="58">
        <f>IFERROR(E16/B31,"")</f>
        <v>1.0380756410256411</v>
      </c>
      <c r="F31" s="25" t="str">
        <f>IF(E31="","",IF(E31&lt;0.3,"Ổn (dưới 0,3)",IF(E31&lt;=0.6,"Đáng lo (0,3–0,6)","Nguy (trên 0,6)")))</f>
        <v>Nguy (trên 0,6)</v>
      </c>
    </row>
    <row r="32" spans="1:8" ht="15" customHeight="1" x14ac:dyDescent="0.3">
      <c r="A32" s="23" t="s">
        <v>290</v>
      </c>
      <c r="B32" s="59">
        <f>IFERROR((D17*(1-B27)-E17)/D17,"")</f>
        <v>0.55134003838771595</v>
      </c>
      <c r="C32" s="25" t="str">
        <f>IF(B32="","",IF(B32&gt;0.5,"Ổn",IF(B32&gt;=0.35,"Đáng lo","Nguy")))</f>
        <v>Ổn</v>
      </c>
      <c r="D32" s="46" t="s">
        <v>291</v>
      </c>
    </row>
    <row r="33" spans="1:9" ht="30" customHeight="1" x14ac:dyDescent="0.3">
      <c r="A33" s="101" t="s">
        <v>292</v>
      </c>
      <c r="B33" s="102"/>
      <c r="C33" s="102"/>
      <c r="D33" s="102"/>
      <c r="E33" s="102"/>
      <c r="F33" s="102"/>
      <c r="G33" s="102"/>
      <c r="H33" s="102"/>
      <c r="I33" s="102"/>
    </row>
    <row r="34" spans="1:9" ht="30" customHeight="1" x14ac:dyDescent="0.3">
      <c r="A34" s="101" t="s">
        <v>293</v>
      </c>
      <c r="B34" s="102"/>
      <c r="C34" s="102"/>
      <c r="D34" s="102"/>
      <c r="E34" s="102"/>
      <c r="F34" s="102"/>
      <c r="G34" s="102"/>
      <c r="H34" s="102"/>
      <c r="I34" s="102"/>
    </row>
    <row r="35" spans="1:9" ht="15" customHeight="1" x14ac:dyDescent="0.3">
      <c r="A35" s="4" t="s">
        <v>294</v>
      </c>
    </row>
    <row r="36" spans="1:9" ht="15" customHeight="1" x14ac:dyDescent="0.3">
      <c r="A36" s="20" t="s">
        <v>295</v>
      </c>
      <c r="B36" s="101" t="s">
        <v>296</v>
      </c>
      <c r="C36" s="102"/>
      <c r="D36" s="102"/>
      <c r="E36" s="102"/>
      <c r="F36" s="102"/>
      <c r="G36" s="102"/>
      <c r="H36" s="102"/>
      <c r="I36" s="102"/>
    </row>
    <row r="37" spans="1:9" ht="30" customHeight="1" x14ac:dyDescent="0.3">
      <c r="A37" s="20" t="s">
        <v>297</v>
      </c>
      <c r="B37" s="101" t="s">
        <v>298</v>
      </c>
      <c r="C37" s="102"/>
      <c r="D37" s="102"/>
      <c r="E37" s="102"/>
      <c r="F37" s="102"/>
      <c r="G37" s="102"/>
      <c r="H37" s="102"/>
      <c r="I37" s="102"/>
    </row>
    <row r="38" spans="1:9" ht="15" customHeight="1" x14ac:dyDescent="0.3">
      <c r="A38" s="20" t="s">
        <v>299</v>
      </c>
      <c r="B38" s="101" t="s">
        <v>300</v>
      </c>
      <c r="C38" s="102"/>
      <c r="D38" s="102"/>
      <c r="E38" s="102"/>
      <c r="F38" s="102"/>
      <c r="G38" s="102"/>
      <c r="H38" s="102"/>
      <c r="I38" s="102"/>
    </row>
    <row r="39" spans="1:9" ht="15" customHeight="1" x14ac:dyDescent="0.3">
      <c r="A39" s="20" t="s">
        <v>301</v>
      </c>
      <c r="B39" s="101" t="s">
        <v>302</v>
      </c>
      <c r="C39" s="102"/>
      <c r="D39" s="102"/>
      <c r="E39" s="102"/>
      <c r="F39" s="102"/>
      <c r="G39" s="102"/>
      <c r="H39" s="102"/>
      <c r="I39" s="102"/>
    </row>
    <row r="40" spans="1:9" ht="15" customHeight="1" x14ac:dyDescent="0.3">
      <c r="A40" s="20" t="s">
        <v>303</v>
      </c>
      <c r="B40" s="101" t="s">
        <v>304</v>
      </c>
      <c r="C40" s="102"/>
      <c r="D40" s="102"/>
      <c r="E40" s="102"/>
      <c r="F40" s="102"/>
      <c r="G40" s="102"/>
      <c r="H40" s="102"/>
      <c r="I40" s="102"/>
    </row>
  </sheetData>
  <sheetProtection sheet="1" formatColumns="0" formatRows="0"/>
  <mergeCells count="7">
    <mergeCell ref="B40:I40"/>
    <mergeCell ref="A33:I33"/>
    <mergeCell ref="B39:I39"/>
    <mergeCell ref="B38:I38"/>
    <mergeCell ref="B36:I36"/>
    <mergeCell ref="B37:I37"/>
    <mergeCell ref="A34:I34"/>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defaultColWidth="8.6640625" defaultRowHeight="14.4" x14ac:dyDescent="0.3"/>
  <cols>
    <col min="1" max="1" width="44" customWidth="1"/>
    <col min="2" max="4" width="18" customWidth="1"/>
    <col min="5" max="5" width="14" customWidth="1"/>
    <col min="6" max="6" width="50" customWidth="1"/>
    <col min="7" max="7" width="56" customWidth="1"/>
  </cols>
  <sheetData>
    <row r="1" spans="1:7" ht="17.25" customHeight="1" x14ac:dyDescent="0.3">
      <c r="A1" s="1" t="s">
        <v>305</v>
      </c>
    </row>
    <row r="2" spans="1:7" ht="15" customHeight="1" x14ac:dyDescent="0.3">
      <c r="A2" s="8" t="s">
        <v>306</v>
      </c>
    </row>
    <row r="4" spans="1:7" ht="15" customHeight="1" x14ac:dyDescent="0.3">
      <c r="A4" s="13" t="s">
        <v>307</v>
      </c>
      <c r="B4" s="13" t="s">
        <v>308</v>
      </c>
      <c r="C4" s="13" t="s">
        <v>309</v>
      </c>
      <c r="D4" s="13" t="s">
        <v>310</v>
      </c>
      <c r="E4" s="13" t="s">
        <v>164</v>
      </c>
      <c r="F4" s="13" t="s">
        <v>165</v>
      </c>
      <c r="G4" s="13" t="s">
        <v>311</v>
      </c>
    </row>
    <row r="5" spans="1:7" ht="31.5" customHeight="1" x14ac:dyDescent="0.3">
      <c r="A5" s="60" t="s">
        <v>312</v>
      </c>
      <c r="B5" s="61">
        <v>1.1000000000000001</v>
      </c>
      <c r="C5" s="61">
        <v>1</v>
      </c>
      <c r="D5" s="61">
        <v>0.8</v>
      </c>
      <c r="E5" s="37" t="s">
        <v>313</v>
      </c>
      <c r="F5" s="62" t="s">
        <v>314</v>
      </c>
      <c r="G5" s="39" t="s">
        <v>315</v>
      </c>
    </row>
    <row r="6" spans="1:7" ht="31.5" customHeight="1" x14ac:dyDescent="0.3">
      <c r="A6" s="60" t="s">
        <v>316</v>
      </c>
      <c r="B6" s="61">
        <v>0.9</v>
      </c>
      <c r="C6" s="61">
        <v>1</v>
      </c>
      <c r="D6" s="61">
        <v>1.2</v>
      </c>
      <c r="E6" s="37" t="s">
        <v>313</v>
      </c>
      <c r="F6" s="62" t="s">
        <v>317</v>
      </c>
      <c r="G6" s="39" t="s">
        <v>318</v>
      </c>
    </row>
    <row r="7" spans="1:7" ht="31.5" customHeight="1" x14ac:dyDescent="0.3">
      <c r="A7" s="60" t="s">
        <v>319</v>
      </c>
      <c r="B7" s="63">
        <f>C7*1.3</f>
        <v>13</v>
      </c>
      <c r="C7" s="63">
        <v>10</v>
      </c>
      <c r="D7" s="63">
        <f>C7*0.5</f>
        <v>5</v>
      </c>
      <c r="E7" s="37" t="s">
        <v>320</v>
      </c>
      <c r="F7" s="62" t="s">
        <v>321</v>
      </c>
      <c r="G7" s="39" t="s">
        <v>322</v>
      </c>
    </row>
    <row r="8" spans="1:7" ht="46.5" customHeight="1" x14ac:dyDescent="0.3">
      <c r="A8" s="60" t="s">
        <v>323</v>
      </c>
      <c r="B8" s="41">
        <f>C8*1.6</f>
        <v>8.0000000000000016E-2</v>
      </c>
      <c r="C8" s="41">
        <v>0.05</v>
      </c>
      <c r="D8" s="41">
        <f>C8*0.4</f>
        <v>2.0000000000000004E-2</v>
      </c>
      <c r="E8" s="37" t="s">
        <v>194</v>
      </c>
      <c r="F8" s="62" t="s">
        <v>324</v>
      </c>
      <c r="G8" s="39" t="s">
        <v>325</v>
      </c>
    </row>
    <row r="9" spans="1:7" ht="43.5" customHeight="1" x14ac:dyDescent="0.3">
      <c r="A9" s="60" t="s">
        <v>326</v>
      </c>
      <c r="B9" s="41">
        <f>C9*0.6</f>
        <v>2.7E-2</v>
      </c>
      <c r="C9" s="41">
        <v>4.4999999999999998E-2</v>
      </c>
      <c r="D9" s="41">
        <f>C9*1.6</f>
        <v>7.1999999999999995E-2</v>
      </c>
      <c r="E9" s="37" t="s">
        <v>194</v>
      </c>
      <c r="F9" s="62" t="s">
        <v>327</v>
      </c>
      <c r="G9" s="39" t="s">
        <v>328</v>
      </c>
    </row>
    <row r="10" spans="1:7" ht="31.5" customHeight="1" x14ac:dyDescent="0.3">
      <c r="A10" s="60" t="s">
        <v>329</v>
      </c>
      <c r="B10" s="64">
        <f>C10*0.8</f>
        <v>5600000</v>
      </c>
      <c r="C10" s="64">
        <v>7000000</v>
      </c>
      <c r="D10" s="64">
        <f>C10*1.5</f>
        <v>10500000</v>
      </c>
      <c r="E10" s="37" t="s">
        <v>330</v>
      </c>
      <c r="F10" s="62" t="s">
        <v>331</v>
      </c>
      <c r="G10" s="39" t="s">
        <v>332</v>
      </c>
    </row>
    <row r="11" spans="1:7" ht="46.5" customHeight="1" x14ac:dyDescent="0.3">
      <c r="A11" s="60" t="s">
        <v>333</v>
      </c>
      <c r="B11" s="64">
        <f>C11</f>
        <v>160000000</v>
      </c>
      <c r="C11" s="64">
        <v>160000000</v>
      </c>
      <c r="D11" s="64">
        <f>C11</f>
        <v>160000000</v>
      </c>
      <c r="E11" s="37" t="s">
        <v>257</v>
      </c>
      <c r="F11" s="62" t="s">
        <v>334</v>
      </c>
      <c r="G11" s="12" t="s">
        <v>335</v>
      </c>
    </row>
    <row r="12" spans="1:7" ht="76.5" customHeight="1" x14ac:dyDescent="0.3">
      <c r="A12" s="10" t="s">
        <v>336</v>
      </c>
      <c r="B12" s="64">
        <f>C12</f>
        <v>600000000</v>
      </c>
      <c r="C12" s="64">
        <v>600000000</v>
      </c>
      <c r="D12" s="64">
        <f>C12</f>
        <v>600000000</v>
      </c>
      <c r="E12" s="37" t="s">
        <v>198</v>
      </c>
      <c r="F12" s="62" t="s">
        <v>337</v>
      </c>
      <c r="G12" s="12" t="s">
        <v>338</v>
      </c>
    </row>
    <row r="13" spans="1:7" ht="31.5" customHeight="1" x14ac:dyDescent="0.3">
      <c r="A13" s="60" t="s">
        <v>339</v>
      </c>
      <c r="B13" s="64">
        <f>C13</f>
        <v>3000000000</v>
      </c>
      <c r="C13" s="64">
        <v>3000000000</v>
      </c>
      <c r="D13" s="64">
        <f>C13</f>
        <v>3000000000</v>
      </c>
      <c r="E13" s="37" t="s">
        <v>198</v>
      </c>
      <c r="F13" s="62" t="s">
        <v>340</v>
      </c>
      <c r="G13" s="39" t="s">
        <v>341</v>
      </c>
    </row>
    <row r="14" spans="1:7" ht="15.75" customHeight="1" x14ac:dyDescent="0.3">
      <c r="A14" s="35" t="s">
        <v>342</v>
      </c>
      <c r="B14" s="41">
        <v>0.15</v>
      </c>
      <c r="C14" s="41">
        <v>0.15</v>
      </c>
      <c r="D14" s="41">
        <v>0.15</v>
      </c>
      <c r="E14" s="37" t="s">
        <v>194</v>
      </c>
      <c r="F14" s="65" t="s">
        <v>343</v>
      </c>
      <c r="G14" s="39" t="s">
        <v>344</v>
      </c>
    </row>
    <row r="16" spans="1:7" ht="15" customHeight="1" x14ac:dyDescent="0.3">
      <c r="A16" s="4" t="s">
        <v>345</v>
      </c>
    </row>
    <row r="17" spans="1:4" ht="15" customHeight="1" x14ac:dyDescent="0.3">
      <c r="A17" s="42" t="s">
        <v>346</v>
      </c>
      <c r="B17" s="43">
        <f>'2_Định giá'!D17*B5*(1-'2_Định giá'!$B$27)</f>
        <v>5731000.0000000009</v>
      </c>
      <c r="C17" s="43">
        <f>'2_Định giá'!D17*C5*(1-'2_Định giá'!$B$27)</f>
        <v>5210000</v>
      </c>
      <c r="D17" s="43">
        <f>'2_Định giá'!D17*D5*(1-'2_Định giá'!$B$27)</f>
        <v>4168000</v>
      </c>
    </row>
    <row r="18" spans="1:4" ht="15" customHeight="1" x14ac:dyDescent="0.3">
      <c r="A18" s="42" t="s">
        <v>347</v>
      </c>
      <c r="B18" s="43">
        <f>'2_Định giá'!E17*B6</f>
        <v>1457458.2000000002</v>
      </c>
      <c r="C18" s="43">
        <f>'2_Định giá'!E17*C6</f>
        <v>1619398.0000000002</v>
      </c>
      <c r="D18" s="43">
        <f>'2_Định giá'!E17*D6</f>
        <v>1943277.6</v>
      </c>
    </row>
    <row r="19" spans="1:4" ht="15" customHeight="1" x14ac:dyDescent="0.3">
      <c r="A19" s="46" t="s">
        <v>348</v>
      </c>
    </row>
    <row r="20" spans="1:4" ht="15" customHeight="1" x14ac:dyDescent="0.3">
      <c r="A20" s="4" t="s">
        <v>349</v>
      </c>
    </row>
    <row r="21" spans="1:4" ht="15" customHeight="1" x14ac:dyDescent="0.3">
      <c r="A21" t="s">
        <v>350</v>
      </c>
      <c r="B21" s="55" t="str">
        <f>IF(C9=0,"Chưa điền",IF(D9&gt;=1.5*C9,"Đạt","Chưa đủ sốc"))</f>
        <v>Đạt</v>
      </c>
    </row>
    <row r="22" spans="1:4" ht="15" customHeight="1" x14ac:dyDescent="0.3">
      <c r="A22" t="s">
        <v>351</v>
      </c>
      <c r="B22" s="55"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6640625" defaultRowHeight="14.4" x14ac:dyDescent="0.3"/>
  <cols>
    <col min="1" max="1" width="40" customWidth="1"/>
    <col min="2" max="4" width="18" customWidth="1"/>
    <col min="5" max="5" width="20" customWidth="1"/>
  </cols>
  <sheetData>
    <row r="1" spans="1:5" ht="17.25" customHeight="1" x14ac:dyDescent="0.3">
      <c r="A1" s="1" t="s">
        <v>352</v>
      </c>
    </row>
    <row r="2" spans="1:5" ht="15" customHeight="1" x14ac:dyDescent="0.3">
      <c r="A2" s="8" t="s">
        <v>353</v>
      </c>
    </row>
    <row r="4" spans="1:5" ht="15" customHeight="1" x14ac:dyDescent="0.3">
      <c r="A4" s="13" t="s">
        <v>354</v>
      </c>
      <c r="B4" s="13" t="s">
        <v>308</v>
      </c>
      <c r="C4" s="13" t="s">
        <v>309</v>
      </c>
      <c r="D4" s="13" t="s">
        <v>310</v>
      </c>
      <c r="E4" s="13" t="s">
        <v>355</v>
      </c>
    </row>
    <row r="5" spans="1:5" ht="15" customHeight="1" x14ac:dyDescent="0.3">
      <c r="A5" s="42" t="s">
        <v>346</v>
      </c>
      <c r="B5" s="43">
        <f>'3_Giả định'!B17</f>
        <v>5731000.0000000009</v>
      </c>
      <c r="C5" s="43">
        <f>'3_Giả định'!C17</f>
        <v>5210000</v>
      </c>
      <c r="D5" s="43">
        <f>'3_Giả định'!D17</f>
        <v>4168000</v>
      </c>
    </row>
    <row r="6" spans="1:5" ht="15" customHeight="1" x14ac:dyDescent="0.3">
      <c r="A6" s="42" t="s">
        <v>356</v>
      </c>
      <c r="B6" s="43">
        <f>'3_Giả định'!B17-'3_Giả định'!B18</f>
        <v>4273541.8000000007</v>
      </c>
      <c r="C6" s="43">
        <f>'3_Giả định'!C17-'3_Giả định'!C18</f>
        <v>3590602</v>
      </c>
      <c r="D6" s="43">
        <f>'3_Giả định'!D17-'3_Giả định'!D18</f>
        <v>2224722.4</v>
      </c>
    </row>
    <row r="7" spans="1:5" ht="15" customHeight="1" x14ac:dyDescent="0.3">
      <c r="A7" s="42" t="s">
        <v>100</v>
      </c>
      <c r="B7" s="45">
        <f>IFERROR(B6/B5,0)</f>
        <v>0.74568867562380037</v>
      </c>
      <c r="C7" s="45">
        <f>IFERROR(C6/C5,0)</f>
        <v>0.68917504798464491</v>
      </c>
      <c r="D7" s="45">
        <f>IFERROR(D6/D5,0)</f>
        <v>0.5337625719769673</v>
      </c>
      <c r="E7" t="s">
        <v>357</v>
      </c>
    </row>
    <row r="8" spans="1:5" ht="15" customHeight="1" x14ac:dyDescent="0.3">
      <c r="A8" s="42" t="s">
        <v>358</v>
      </c>
      <c r="B8" s="66">
        <f>IFERROR(1/'3_Giả định'!B9,0)</f>
        <v>37.037037037037038</v>
      </c>
      <c r="C8" s="66">
        <f>IFERROR(1/'3_Giả định'!C9,0)</f>
        <v>22.222222222222221</v>
      </c>
      <c r="D8" s="66">
        <f>IFERROR(1/'3_Giả định'!D9,0)</f>
        <v>13.888888888888889</v>
      </c>
    </row>
    <row r="9" spans="1:5" ht="15" customHeight="1" x14ac:dyDescent="0.3">
      <c r="A9" s="42" t="s">
        <v>359</v>
      </c>
      <c r="B9" s="43">
        <f>B6*B8</f>
        <v>158279325.92592597</v>
      </c>
      <c r="C9" s="43">
        <f>C6*C8</f>
        <v>79791155.555555552</v>
      </c>
      <c r="D9" s="43">
        <f>D6*D8</f>
        <v>30898922.22222222</v>
      </c>
    </row>
    <row r="10" spans="1:5" ht="15" customHeight="1" x14ac:dyDescent="0.3">
      <c r="A10" s="42" t="s">
        <v>360</v>
      </c>
      <c r="B10" s="43">
        <f>'3_Giả định'!B10</f>
        <v>5600000</v>
      </c>
      <c r="C10" s="43">
        <f>'3_Giả định'!C10</f>
        <v>7000000</v>
      </c>
      <c r="D10" s="43">
        <f>'3_Giả định'!D10</f>
        <v>10500000</v>
      </c>
    </row>
    <row r="11" spans="1:5" ht="15" customHeight="1" x14ac:dyDescent="0.3">
      <c r="A11" s="42" t="s">
        <v>361</v>
      </c>
      <c r="B11" s="67">
        <f>IFERROR(B9/B10,0)</f>
        <v>28.264165343915352</v>
      </c>
      <c r="C11" s="67">
        <f>IFERROR(C9/C10,0)</f>
        <v>11.398736507936507</v>
      </c>
      <c r="D11" s="67">
        <f>IFERROR(D9/D10,0)</f>
        <v>2.942754497354497</v>
      </c>
      <c r="E11" s="3" t="s">
        <v>362</v>
      </c>
    </row>
    <row r="12" spans="1:5" ht="15" customHeight="1" x14ac:dyDescent="0.3">
      <c r="A12" s="42" t="s">
        <v>363</v>
      </c>
      <c r="B12" s="66">
        <f>IFERROR(B10/B6,0)</f>
        <v>1.310388493216563</v>
      </c>
      <c r="C12" s="66">
        <f>IFERROR(C10/C6,0)</f>
        <v>1.9495338107648801</v>
      </c>
      <c r="D12" s="66">
        <f>IFERROR(D10/D6,0)</f>
        <v>4.7196899712071945</v>
      </c>
      <c r="E12" t="s">
        <v>364</v>
      </c>
    </row>
    <row r="13" spans="1:5" ht="15" customHeight="1" x14ac:dyDescent="0.3">
      <c r="A13" s="42" t="s">
        <v>365</v>
      </c>
      <c r="B13" s="68" t="str">
        <f>IF(B5&lt;=0,"Chưa điền trang 2–3",IF(B6&lt;=0,"Lỗ trên từng khách",IF(AND(B11&gt;3,B12&lt;12,B7&gt;=0.6),"Khỏe",IF(B11&gt;=1,"Cần cải thiện","Đốt tiền"))))</f>
        <v>Khỏe</v>
      </c>
      <c r="C13" s="68" t="str">
        <f>IF(C5&lt;=0,"Chưa điền trang 2–3",IF(C6&lt;=0,"Lỗ trên từng khách",IF(AND(C11&gt;3,C12&lt;12,C7&gt;=0.6),"Khỏe",IF(C11&gt;=1,"Cần cải thiện","Đốt tiền"))))</f>
        <v>Khỏe</v>
      </c>
      <c r="D13" s="68" t="str">
        <f>IF(D5&lt;=0,"Chưa điền trang 2–3",IF(D6&lt;=0,"Lỗ trên từng khách",IF(AND(D11&gt;3,D12&lt;12,D7&gt;=0.6),"Khỏe",IF(D11&gt;=1,"Cần cải thiện","Đốt tiền"))))</f>
        <v>Cần cải thiện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outlineLevelRow="1" x14ac:dyDescent="0.3"/>
  <cols>
    <col min="1" max="1" width="38" customWidth="1"/>
    <col min="2" max="26" width="18" customWidth="1"/>
  </cols>
  <sheetData>
    <row r="1" spans="1:26" ht="17.25" customHeight="1" x14ac:dyDescent="0.3">
      <c r="A1" s="1" t="s">
        <v>366</v>
      </c>
    </row>
    <row r="2" spans="1:26" ht="15" customHeight="1" x14ac:dyDescent="0.3">
      <c r="A2" s="8" t="s">
        <v>367</v>
      </c>
    </row>
    <row r="4" spans="1:26" ht="15" customHeight="1" x14ac:dyDescent="0.3">
      <c r="A4" s="13" t="s">
        <v>368</v>
      </c>
      <c r="B4" s="13" t="s">
        <v>369</v>
      </c>
      <c r="C4" s="13" t="s">
        <v>370</v>
      </c>
      <c r="D4" s="13" t="s">
        <v>371</v>
      </c>
      <c r="E4" s="13" t="s">
        <v>372</v>
      </c>
      <c r="F4" s="13" t="s">
        <v>373</v>
      </c>
      <c r="G4" s="13" t="s">
        <v>374</v>
      </c>
      <c r="H4" s="13" t="s">
        <v>375</v>
      </c>
      <c r="I4" s="13" t="s">
        <v>376</v>
      </c>
      <c r="J4" s="13" t="s">
        <v>377</v>
      </c>
      <c r="K4" s="13" t="s">
        <v>378</v>
      </c>
      <c r="L4" s="13" t="s">
        <v>379</v>
      </c>
      <c r="M4" s="13" t="s">
        <v>380</v>
      </c>
      <c r="N4" s="13" t="s">
        <v>381</v>
      </c>
      <c r="O4" s="13" t="s">
        <v>382</v>
      </c>
      <c r="P4" s="13" t="s">
        <v>383</v>
      </c>
      <c r="Q4" s="13" t="s">
        <v>384</v>
      </c>
      <c r="R4" s="13" t="s">
        <v>385</v>
      </c>
      <c r="S4" s="13" t="s">
        <v>386</v>
      </c>
      <c r="T4" s="13" t="s">
        <v>387</v>
      </c>
      <c r="U4" s="13" t="s">
        <v>388</v>
      </c>
      <c r="V4" s="13" t="s">
        <v>389</v>
      </c>
      <c r="W4" s="13" t="s">
        <v>390</v>
      </c>
      <c r="X4" s="13" t="s">
        <v>391</v>
      </c>
      <c r="Y4" s="13" t="s">
        <v>392</v>
      </c>
      <c r="Z4" s="13" t="s">
        <v>393</v>
      </c>
    </row>
    <row r="5" spans="1:26" ht="15" customHeight="1" x14ac:dyDescent="0.3">
      <c r="A5" s="69" t="s">
        <v>394</v>
      </c>
    </row>
    <row r="6" spans="1:26" ht="15" customHeight="1" x14ac:dyDescent="0.3">
      <c r="A6" s="42" t="s">
        <v>395</v>
      </c>
      <c r="C6" s="70">
        <f>'3_Giả định'!$B$7*(1+'3_Giả định'!$B$8)^0</f>
        <v>13</v>
      </c>
      <c r="D6" s="70">
        <f>'3_Giả định'!$B$7*(1+'3_Giả định'!$B$8)^1</f>
        <v>14.040000000000001</v>
      </c>
      <c r="E6" s="70">
        <f>'3_Giả định'!$B$7*(1+'3_Giả định'!$B$8)^2</f>
        <v>15.163200000000002</v>
      </c>
      <c r="F6" s="70">
        <f>'3_Giả định'!$B$7*(1+'3_Giả định'!$B$8)^3</f>
        <v>16.376256000000001</v>
      </c>
      <c r="G6" s="70">
        <f>'3_Giả định'!$B$7*(1+'3_Giả định'!$B$8)^4</f>
        <v>17.686356480000004</v>
      </c>
      <c r="H6" s="70">
        <f>'3_Giả định'!$B$7*(1+'3_Giả định'!$B$8)^5</f>
        <v>19.101264998400005</v>
      </c>
      <c r="I6" s="70">
        <f>'3_Giả định'!$B$7*(1+'3_Giả định'!$B$8)^6</f>
        <v>20.629366198272006</v>
      </c>
      <c r="J6" s="70">
        <f>'3_Giả định'!$B$7*(1+'3_Giả định'!$B$8)^7</f>
        <v>22.279715494133768</v>
      </c>
      <c r="K6" s="70">
        <f>'3_Giả định'!$B$7*(1+'3_Giả định'!$B$8)^8</f>
        <v>24.062092733664471</v>
      </c>
      <c r="L6" s="70">
        <f>'3_Giả định'!$B$7*(1+'3_Giả định'!$B$8)^9</f>
        <v>25.987060152357628</v>
      </c>
      <c r="M6" s="70">
        <f>'3_Giả định'!$B$7*(1+'3_Giả định'!$B$8)^10</f>
        <v>28.066024964546241</v>
      </c>
      <c r="N6" s="70">
        <f>'3_Giả định'!$B$7*(1+'3_Giả định'!$B$8)^11</f>
        <v>30.311306961709938</v>
      </c>
      <c r="O6" s="70">
        <f>'3_Giả định'!$B$7*(1+'3_Giả định'!$B$8)^12</f>
        <v>32.736211518646741</v>
      </c>
      <c r="P6" s="70">
        <f>'3_Giả định'!$B$7*(1+'3_Giả định'!$B$8)^13</f>
        <v>35.35510844013848</v>
      </c>
      <c r="Q6" s="70">
        <f>'3_Giả định'!$B$7*(1+'3_Giả định'!$B$8)^14</f>
        <v>38.183517115349559</v>
      </c>
      <c r="R6" s="70">
        <f>'3_Giả định'!$B$7*(1+'3_Giả định'!$B$8)^15</f>
        <v>41.238198484577531</v>
      </c>
      <c r="S6" s="70">
        <f>'3_Giả định'!$B$7*(1+'3_Giả định'!$B$8)^16</f>
        <v>44.537254363343727</v>
      </c>
      <c r="T6" s="70">
        <f>'3_Giả định'!$B$7*(1+'3_Giả định'!$B$8)^17</f>
        <v>48.100234712411229</v>
      </c>
      <c r="U6" s="70">
        <f>'3_Giả định'!$B$7*(1+'3_Giả định'!$B$8)^18</f>
        <v>51.948253489404131</v>
      </c>
      <c r="V6" s="70">
        <f>'3_Giả định'!$B$7*(1+'3_Giả định'!$B$8)^19</f>
        <v>56.104113768556473</v>
      </c>
      <c r="W6" s="70">
        <f>'3_Giả định'!$B$7*(1+'3_Giả định'!$B$8)^20</f>
        <v>60.592442870040983</v>
      </c>
      <c r="X6" s="70">
        <f>'3_Giả định'!$B$7*(1+'3_Giả định'!$B$8)^21</f>
        <v>65.439838299644265</v>
      </c>
      <c r="Y6" s="70">
        <f>'3_Giả định'!$B$7*(1+'3_Giả định'!$B$8)^22</f>
        <v>70.675025363615816</v>
      </c>
      <c r="Z6" s="70">
        <f>'3_Giả định'!$B$7*(1+'3_Giả định'!$B$8)^23</f>
        <v>76.329027392705086</v>
      </c>
    </row>
    <row r="7" spans="1:26" ht="15" customHeight="1" x14ac:dyDescent="0.3">
      <c r="A7" s="42" t="s">
        <v>396</v>
      </c>
      <c r="B7">
        <v>0</v>
      </c>
      <c r="C7" s="70">
        <f>B7*(1-'3_Giả định'!$B$9)+C6</f>
        <v>13</v>
      </c>
      <c r="D7" s="70">
        <f>C7*(1-'3_Giả định'!$B$9)+D6</f>
        <v>26.689</v>
      </c>
      <c r="E7" s="70">
        <f>D7*(1-'3_Giả định'!$B$9)+E6</f>
        <v>41.131596999999999</v>
      </c>
      <c r="F7" s="70">
        <f>E7*(1-'3_Giả định'!$B$9)+F6</f>
        <v>56.397299880999995</v>
      </c>
      <c r="G7" s="70">
        <f>F7*(1-'3_Giả định'!$B$9)+G6</f>
        <v>72.560929264213001</v>
      </c>
      <c r="H7" s="70">
        <f>G7*(1-'3_Giả định'!$B$9)+H6</f>
        <v>89.70304917247924</v>
      </c>
      <c r="I7" s="70">
        <f>H7*(1-'3_Giả định'!$B$9)+I6</f>
        <v>107.9104330430943</v>
      </c>
      <c r="J7" s="70">
        <f>I7*(1-'3_Giả định'!$B$9)+J6</f>
        <v>127.27656684506452</v>
      </c>
      <c r="K7" s="70">
        <f>J7*(1-'3_Giả định'!$B$9)+K6</f>
        <v>147.90219227391225</v>
      </c>
      <c r="L7" s="70">
        <f>K7*(1-'3_Giả định'!$B$9)+L6</f>
        <v>169.89589323487425</v>
      </c>
      <c r="M7" s="70">
        <f>L7*(1-'3_Giả định'!$B$9)+M6</f>
        <v>193.37472908207889</v>
      </c>
      <c r="N7" s="70">
        <f>M7*(1-'3_Giả định'!$B$9)+N6</f>
        <v>218.46491835857267</v>
      </c>
      <c r="O7" s="70">
        <f>N7*(1-'3_Giả định'!$B$9)+O6</f>
        <v>245.30257708153795</v>
      </c>
      <c r="P7" s="70">
        <f>O7*(1-'3_Giả định'!$B$9)+P6</f>
        <v>274.03451594047488</v>
      </c>
      <c r="Q7" s="70">
        <f>P7*(1-'3_Giả định'!$B$9)+Q6</f>
        <v>304.81910112543159</v>
      </c>
      <c r="R7" s="70">
        <f>Q7*(1-'3_Giả định'!$B$9)+R6</f>
        <v>337.82718387962245</v>
      </c>
      <c r="S7" s="70">
        <f>R7*(1-'3_Giả định'!$B$9)+S6</f>
        <v>373.24310427821638</v>
      </c>
      <c r="T7" s="70">
        <f>S7*(1-'3_Giả định'!$B$9)+T6</f>
        <v>411.26577517511578</v>
      </c>
      <c r="U7" s="70">
        <f>T7*(1-'3_Giả định'!$B$9)+U6</f>
        <v>452.10985273479179</v>
      </c>
      <c r="V7" s="70">
        <f>U7*(1-'3_Giả định'!$B$9)+V6</f>
        <v>496.00700047950886</v>
      </c>
      <c r="W7" s="70">
        <f>V7*(1-'3_Giả định'!$B$9)+W6</f>
        <v>543.20725433660311</v>
      </c>
      <c r="X7" s="70">
        <f>W7*(1-'3_Giả định'!$B$9)+X6</f>
        <v>593.98049676915912</v>
      </c>
      <c r="Y7" s="70">
        <f>X7*(1-'3_Giả định'!$B$9)+Y6</f>
        <v>648.61804872000766</v>
      </c>
      <c r="Z7" s="70">
        <f>Y7*(1-'3_Giả định'!$B$9)+Z6</f>
        <v>707.4343887972725</v>
      </c>
    </row>
    <row r="8" spans="1:26" ht="15" customHeight="1" x14ac:dyDescent="0.3">
      <c r="A8" s="42" t="s">
        <v>90</v>
      </c>
      <c r="C8" s="71">
        <f>C7*'3_Giả định'!$B$17</f>
        <v>74503000.000000015</v>
      </c>
      <c r="D8" s="71">
        <f>D7*'3_Giả định'!$B$17</f>
        <v>152954659.00000003</v>
      </c>
      <c r="E8" s="71">
        <f>E7*'3_Giả định'!$B$17</f>
        <v>235725182.40700004</v>
      </c>
      <c r="F8" s="71">
        <f>F7*'3_Giả định'!$B$17</f>
        <v>323212925.618011</v>
      </c>
      <c r="G8" s="71">
        <f>G7*'3_Giả định'!$B$17</f>
        <v>415846685.61320478</v>
      </c>
      <c r="H8" s="71">
        <f>H7*'3_Giả định'!$B$17</f>
        <v>514088174.80747861</v>
      </c>
      <c r="I8" s="71">
        <f>I7*'3_Giả định'!$B$17</f>
        <v>618434691.76997352</v>
      </c>
      <c r="J8" s="71">
        <f>J7*'3_Giả định'!$B$17</f>
        <v>729422004.58906484</v>
      </c>
      <c r="K8" s="71">
        <f>K7*'3_Giả định'!$B$17</f>
        <v>847627463.9217912</v>
      </c>
      <c r="L8" s="71">
        <f>L7*'3_Giả định'!$B$17</f>
        <v>973673364.12906444</v>
      </c>
      <c r="M8" s="71">
        <f>M7*'3_Giả định'!$B$17</f>
        <v>1108230572.3693943</v>
      </c>
      <c r="N8" s="71">
        <f>N7*'3_Giả định'!$B$17</f>
        <v>1252022447.1129801</v>
      </c>
      <c r="O8" s="71">
        <f>O7*'3_Giả định'!$B$17</f>
        <v>1405829069.2542942</v>
      </c>
      <c r="P8" s="71">
        <f>P7*'3_Giả định'!$B$17</f>
        <v>1570491810.8548617</v>
      </c>
      <c r="Q8" s="71">
        <f>Q7*'3_Giả định'!$B$17</f>
        <v>1746918268.5498488</v>
      </c>
      <c r="R8" s="71">
        <f>R7*'3_Giả định'!$B$17</f>
        <v>1936087590.8141165</v>
      </c>
      <c r="S8" s="71">
        <f>S7*'3_Giả định'!$B$17</f>
        <v>2139056230.6184585</v>
      </c>
      <c r="T8" s="71">
        <f>T7*'3_Giả định'!$B$17</f>
        <v>2356964157.5285888</v>
      </c>
      <c r="U8" s="71">
        <f>U7*'3_Giả định'!$B$17</f>
        <v>2591041566.0230923</v>
      </c>
      <c r="V8" s="71">
        <f>V7*'3_Giả định'!$B$17</f>
        <v>2842616119.7480659</v>
      </c>
      <c r="W8" s="71">
        <f>W7*'3_Giả định'!$B$17</f>
        <v>3113120774.6030731</v>
      </c>
      <c r="X8" s="71">
        <f>X7*'3_Giả định'!$B$17</f>
        <v>3404102226.9840512</v>
      </c>
      <c r="Y8" s="71">
        <f>Y7*'3_Giả định'!$B$17</f>
        <v>3717230037.2143645</v>
      </c>
      <c r="Z8" s="71">
        <f>Z7*'3_Giả định'!$B$17</f>
        <v>4054306482.1971693</v>
      </c>
    </row>
    <row r="9" spans="1:26" ht="15" customHeight="1" x14ac:dyDescent="0.3">
      <c r="A9" s="42" t="s">
        <v>397</v>
      </c>
      <c r="C9" s="71">
        <f>C7*'3_Giả định'!$B$18</f>
        <v>18946956.600000001</v>
      </c>
      <c r="D9" s="71">
        <f>D7*'3_Giả định'!$B$18</f>
        <v>38898101.899800003</v>
      </c>
      <c r="E9" s="71">
        <f>E7*'3_Giả định'!$B$18</f>
        <v>59947583.326745406</v>
      </c>
      <c r="F9" s="71">
        <f>F7*'3_Giả định'!$B$18</f>
        <v>82196707.169422477</v>
      </c>
      <c r="G9" s="71">
        <f>G7*'3_Giả định'!$B$18</f>
        <v>105754521.35574722</v>
      </c>
      <c r="H9" s="71">
        <f>H7*'3_Giả định'!$B$18</f>
        <v>130738444.5814331</v>
      </c>
      <c r="I9" s="71">
        <f>I7*'3_Giả định'!$B$18</f>
        <v>157274945.50420877</v>
      </c>
      <c r="J9" s="71">
        <f>J7*'3_Giả định'!$B$18</f>
        <v>185500276.01618743</v>
      </c>
      <c r="K9" s="71">
        <f>K7*'3_Giả định'!$B$18</f>
        <v>215561262.92759007</v>
      </c>
      <c r="L9" s="71">
        <f>L7*'3_Giả định'!$B$18</f>
        <v>247616162.74149203</v>
      </c>
      <c r="M9" s="71">
        <f>M7*'3_Giả định'!$B$18</f>
        <v>281835584.57345438</v>
      </c>
      <c r="N9" s="71">
        <f>N7*'3_Giả định'!$B$18</f>
        <v>318403486.67403233</v>
      </c>
      <c r="O9" s="71">
        <f>O7*'3_Giả định'!$B$18</f>
        <v>357518252.4486196</v>
      </c>
      <c r="P9" s="71">
        <f>P7*'3_Giả định'!$B$18</f>
        <v>399393852.34047586</v>
      </c>
      <c r="Q9" s="71">
        <f>Q7*'3_Giả định'!$B$18</f>
        <v>444261098.45188957</v>
      </c>
      <c r="R9" s="71">
        <f>R7*'3_Giả định'!$B$18</f>
        <v>492368999.32826364</v>
      </c>
      <c r="S9" s="71">
        <f>S7*'3_Giả định'!$B$18</f>
        <v>543986222.92374158</v>
      </c>
      <c r="T9" s="71">
        <f>T7*'3_Giả định'!$B$18</f>
        <v>599402676.40832901</v>
      </c>
      <c r="U9" s="71">
        <f>U7*'3_Giả định'!$B$18</f>
        <v>658931212.16911483</v>
      </c>
      <c r="V9" s="71">
        <f>V7*'3_Giả định'!$B$18</f>
        <v>722909470.10626423</v>
      </c>
      <c r="W9" s="71">
        <f>W7*'3_Giả định'!$B$18</f>
        <v>791701867.13236785</v>
      </c>
      <c r="X9" s="71">
        <f>X7*'3_Giả định'!$B$18</f>
        <v>865701745.65628457</v>
      </c>
      <c r="Y9" s="71">
        <f>Y7*'3_Giả định'!$B$18</f>
        <v>945333693.77497482</v>
      </c>
      <c r="Z9" s="71">
        <f>Z7*'3_Giả định'!$B$18</f>
        <v>1031056050.9145731</v>
      </c>
    </row>
    <row r="10" spans="1:26" ht="15" customHeight="1" x14ac:dyDescent="0.3">
      <c r="A10" s="42" t="s">
        <v>92</v>
      </c>
      <c r="C10" s="71">
        <f t="shared" ref="C10:Z10" si="0">C8-C9</f>
        <v>55556043.400000013</v>
      </c>
      <c r="D10" s="71">
        <f t="shared" si="0"/>
        <v>114056557.10020003</v>
      </c>
      <c r="E10" s="71">
        <f t="shared" si="0"/>
        <v>175777599.08025461</v>
      </c>
      <c r="F10" s="71">
        <f t="shared" si="0"/>
        <v>241016218.44858852</v>
      </c>
      <c r="G10" s="71">
        <f t="shared" si="0"/>
        <v>310092164.25745755</v>
      </c>
      <c r="H10" s="71">
        <f t="shared" si="0"/>
        <v>383349730.22604549</v>
      </c>
      <c r="I10" s="71">
        <f t="shared" si="0"/>
        <v>461159746.26576471</v>
      </c>
      <c r="J10" s="71">
        <f t="shared" si="0"/>
        <v>543921728.57287741</v>
      </c>
      <c r="K10" s="71">
        <f t="shared" si="0"/>
        <v>632066200.99420118</v>
      </c>
      <c r="L10" s="71">
        <f t="shared" si="0"/>
        <v>726057201.38757241</v>
      </c>
      <c r="M10" s="71">
        <f t="shared" si="0"/>
        <v>826394987.79593992</v>
      </c>
      <c r="N10" s="71">
        <f t="shared" si="0"/>
        <v>933618960.4389478</v>
      </c>
      <c r="O10" s="71">
        <f t="shared" si="0"/>
        <v>1048310816.8056746</v>
      </c>
      <c r="P10" s="71">
        <f t="shared" si="0"/>
        <v>1171097958.5143859</v>
      </c>
      <c r="Q10" s="71">
        <f t="shared" si="0"/>
        <v>1302657170.0979593</v>
      </c>
      <c r="R10" s="71">
        <f t="shared" si="0"/>
        <v>1443718591.4858527</v>
      </c>
      <c r="S10" s="71">
        <f t="shared" si="0"/>
        <v>1595070007.6947169</v>
      </c>
      <c r="T10" s="71">
        <f t="shared" si="0"/>
        <v>1757561481.1202598</v>
      </c>
      <c r="U10" s="71">
        <f t="shared" si="0"/>
        <v>1932110353.8539774</v>
      </c>
      <c r="V10" s="71">
        <f t="shared" si="0"/>
        <v>2119706649.6418018</v>
      </c>
      <c r="W10" s="71">
        <f t="shared" si="0"/>
        <v>2321418907.470705</v>
      </c>
      <c r="X10" s="71">
        <f t="shared" si="0"/>
        <v>2538400481.3277664</v>
      </c>
      <c r="Y10" s="71">
        <f t="shared" si="0"/>
        <v>2771896343.4393897</v>
      </c>
      <c r="Z10" s="71">
        <f t="shared" si="0"/>
        <v>3023250431.2825961</v>
      </c>
    </row>
    <row r="11" spans="1:26" ht="15" customHeight="1" x14ac:dyDescent="0.3">
      <c r="A11" s="42" t="s">
        <v>398</v>
      </c>
      <c r="C11" s="71">
        <f>C6*'3_Giả định'!$B$10</f>
        <v>72800000</v>
      </c>
      <c r="D11" s="71">
        <f>D6*'3_Giả định'!$B$10</f>
        <v>78624000</v>
      </c>
      <c r="E11" s="71">
        <f>E6*'3_Giả định'!$B$10</f>
        <v>84913920.000000015</v>
      </c>
      <c r="F11" s="71">
        <f>F6*'3_Giả định'!$B$10</f>
        <v>91707033.600000009</v>
      </c>
      <c r="G11" s="71">
        <f>G6*'3_Giả định'!$B$10</f>
        <v>99043596.288000017</v>
      </c>
      <c r="H11" s="71">
        <f>H6*'3_Giả định'!$B$10</f>
        <v>106967083.99104002</v>
      </c>
      <c r="I11" s="71">
        <f>I6*'3_Giả định'!$B$10</f>
        <v>115524450.71032323</v>
      </c>
      <c r="J11" s="71">
        <f>J6*'3_Giả định'!$B$10</f>
        <v>124766406.76714911</v>
      </c>
      <c r="K11" s="71">
        <f>K6*'3_Giả định'!$B$10</f>
        <v>134747719.30852103</v>
      </c>
      <c r="L11" s="71">
        <f>L6*'3_Giả định'!$B$10</f>
        <v>145527536.85320273</v>
      </c>
      <c r="M11" s="71">
        <f>M6*'3_Giả định'!$B$10</f>
        <v>157169739.80145895</v>
      </c>
      <c r="N11" s="71">
        <f>N6*'3_Giả định'!$B$10</f>
        <v>169743318.98557565</v>
      </c>
      <c r="O11" s="71">
        <f>O6*'3_Giả định'!$B$10</f>
        <v>183322784.50442174</v>
      </c>
      <c r="P11" s="71">
        <f>P6*'3_Giả định'!$B$10</f>
        <v>197988607.26477548</v>
      </c>
      <c r="Q11" s="71">
        <f>Q6*'3_Giả định'!$B$10</f>
        <v>213827695.84595755</v>
      </c>
      <c r="R11" s="71">
        <f>R6*'3_Giả định'!$B$10</f>
        <v>230933911.51363418</v>
      </c>
      <c r="S11" s="71">
        <f>S6*'3_Giả định'!$B$10</f>
        <v>249408624.43472487</v>
      </c>
      <c r="T11" s="71">
        <f>T6*'3_Giả định'!$B$10</f>
        <v>269361314.38950288</v>
      </c>
      <c r="U11" s="71">
        <f>U6*'3_Giả định'!$B$10</f>
        <v>290910219.54066312</v>
      </c>
      <c r="V11" s="71">
        <f>V6*'3_Giả định'!$B$10</f>
        <v>314183037.10391623</v>
      </c>
      <c r="W11" s="71">
        <f>W6*'3_Giả định'!$B$10</f>
        <v>339317680.0722295</v>
      </c>
      <c r="X11" s="71">
        <f>X6*'3_Giả định'!$B$10</f>
        <v>366463094.47800791</v>
      </c>
      <c r="Y11" s="71">
        <f>Y6*'3_Giả định'!$B$10</f>
        <v>395780142.03624856</v>
      </c>
      <c r="Z11" s="71">
        <f>Z6*'3_Giả định'!$B$10</f>
        <v>427442553.39914846</v>
      </c>
    </row>
    <row r="12" spans="1:26" ht="15" customHeight="1" x14ac:dyDescent="0.3">
      <c r="A12" s="42" t="s">
        <v>399</v>
      </c>
      <c r="C12" s="71">
        <f>'3_Giả định'!$B$11</f>
        <v>160000000</v>
      </c>
      <c r="D12" s="71">
        <f>'3_Giả định'!$B$11</f>
        <v>160000000</v>
      </c>
      <c r="E12" s="71">
        <f>'3_Giả định'!$B$11</f>
        <v>160000000</v>
      </c>
      <c r="F12" s="71">
        <f>'3_Giả định'!$B$11</f>
        <v>160000000</v>
      </c>
      <c r="G12" s="71">
        <f>'3_Giả định'!$B$11</f>
        <v>160000000</v>
      </c>
      <c r="H12" s="71">
        <f>'3_Giả định'!$B$11</f>
        <v>160000000</v>
      </c>
      <c r="I12" s="71">
        <f>'3_Giả định'!$B$11</f>
        <v>160000000</v>
      </c>
      <c r="J12" s="71">
        <f>'3_Giả định'!$B$11</f>
        <v>160000000</v>
      </c>
      <c r="K12" s="71">
        <f>'3_Giả định'!$B$11</f>
        <v>160000000</v>
      </c>
      <c r="L12" s="71">
        <f>'3_Giả định'!$B$11</f>
        <v>160000000</v>
      </c>
      <c r="M12" s="71">
        <f>'3_Giả định'!$B$11</f>
        <v>160000000</v>
      </c>
      <c r="N12" s="71">
        <f>'3_Giả định'!$B$11</f>
        <v>160000000</v>
      </c>
      <c r="O12" s="71">
        <f>'3_Giả định'!$B$11</f>
        <v>160000000</v>
      </c>
      <c r="P12" s="71">
        <f>'3_Giả định'!$B$11</f>
        <v>160000000</v>
      </c>
      <c r="Q12" s="71">
        <f>'3_Giả định'!$B$11</f>
        <v>160000000</v>
      </c>
      <c r="R12" s="71">
        <f>'3_Giả định'!$B$11</f>
        <v>160000000</v>
      </c>
      <c r="S12" s="71">
        <f>'3_Giả định'!$B$11</f>
        <v>160000000</v>
      </c>
      <c r="T12" s="71">
        <f>'3_Giả định'!$B$11</f>
        <v>160000000</v>
      </c>
      <c r="U12" s="71">
        <f>'3_Giả định'!$B$11</f>
        <v>160000000</v>
      </c>
      <c r="V12" s="71">
        <f>'3_Giả định'!$B$11</f>
        <v>160000000</v>
      </c>
      <c r="W12" s="71">
        <f>'3_Giả định'!$B$11</f>
        <v>160000000</v>
      </c>
      <c r="X12" s="71">
        <f>'3_Giả định'!$B$11</f>
        <v>160000000</v>
      </c>
      <c r="Y12" s="71">
        <f>'3_Giả định'!$B$11</f>
        <v>160000000</v>
      </c>
      <c r="Z12" s="71">
        <f>'3_Giả định'!$B$11</f>
        <v>160000000</v>
      </c>
    </row>
    <row r="13" spans="1:26" ht="15" customHeight="1" x14ac:dyDescent="0.3">
      <c r="A13" s="42" t="s">
        <v>400</v>
      </c>
      <c r="B13" s="71">
        <f>-'3_Giả định'!$B$12</f>
        <v>-600000000</v>
      </c>
      <c r="C13" s="71">
        <f t="shared" ref="C13:Z13" si="1">C10-C11-C12</f>
        <v>-177243956.59999999</v>
      </c>
      <c r="D13" s="71">
        <f t="shared" si="1"/>
        <v>-124567442.89979997</v>
      </c>
      <c r="E13" s="71">
        <f t="shared" si="1"/>
        <v>-69136320.919745401</v>
      </c>
      <c r="F13" s="71">
        <f t="shared" si="1"/>
        <v>-10690815.151411474</v>
      </c>
      <c r="G13" s="71">
        <f t="shared" si="1"/>
        <v>51048567.969457537</v>
      </c>
      <c r="H13" s="71">
        <f t="shared" si="1"/>
        <v>116382646.2350055</v>
      </c>
      <c r="I13" s="71">
        <f t="shared" si="1"/>
        <v>185635295.5554415</v>
      </c>
      <c r="J13" s="71">
        <f t="shared" si="1"/>
        <v>259155321.80572832</v>
      </c>
      <c r="K13" s="71">
        <f t="shared" si="1"/>
        <v>337318481.68568015</v>
      </c>
      <c r="L13" s="71">
        <f t="shared" si="1"/>
        <v>420529664.53436971</v>
      </c>
      <c r="M13" s="71">
        <f t="shared" si="1"/>
        <v>509225247.99448097</v>
      </c>
      <c r="N13" s="71">
        <f t="shared" si="1"/>
        <v>603875641.45337212</v>
      </c>
      <c r="O13" s="71">
        <f t="shared" si="1"/>
        <v>704988032.30125284</v>
      </c>
      <c r="P13" s="71">
        <f t="shared" si="1"/>
        <v>813109351.24961042</v>
      </c>
      <c r="Q13" s="71">
        <f t="shared" si="1"/>
        <v>928829474.25200176</v>
      </c>
      <c r="R13" s="71">
        <f t="shared" si="1"/>
        <v>1052784679.9722185</v>
      </c>
      <c r="S13" s="71">
        <f t="shared" si="1"/>
        <v>1185661383.2599921</v>
      </c>
      <c r="T13" s="71">
        <f t="shared" si="1"/>
        <v>1328200166.7307568</v>
      </c>
      <c r="U13" s="71">
        <f t="shared" si="1"/>
        <v>1481200134.3133144</v>
      </c>
      <c r="V13" s="71">
        <f t="shared" si="1"/>
        <v>1645523612.5378857</v>
      </c>
      <c r="W13" s="71">
        <f t="shared" si="1"/>
        <v>1822101227.3984756</v>
      </c>
      <c r="X13" s="71">
        <f t="shared" si="1"/>
        <v>2011937386.8497586</v>
      </c>
      <c r="Y13" s="71">
        <f t="shared" si="1"/>
        <v>2216116201.403141</v>
      </c>
      <c r="Z13" s="71">
        <f t="shared" si="1"/>
        <v>2435807877.8834476</v>
      </c>
    </row>
    <row r="14" spans="1:26" ht="15" customHeight="1" x14ac:dyDescent="0.3">
      <c r="A14" s="42" t="s">
        <v>401</v>
      </c>
      <c r="B14" s="71">
        <f>'3_Giả định'!$B$13+B13</f>
        <v>2400000000</v>
      </c>
      <c r="C14" s="71">
        <f t="shared" ref="C14:Z14" si="2">B14+C13</f>
        <v>2222756043.4000001</v>
      </c>
      <c r="D14" s="71">
        <f t="shared" si="2"/>
        <v>2098188600.5002</v>
      </c>
      <c r="E14" s="71">
        <f t="shared" si="2"/>
        <v>2029052279.5804546</v>
      </c>
      <c r="F14" s="71">
        <f t="shared" si="2"/>
        <v>2018361464.4290431</v>
      </c>
      <c r="G14" s="71">
        <f t="shared" si="2"/>
        <v>2069410032.3985007</v>
      </c>
      <c r="H14" s="71">
        <f t="shared" si="2"/>
        <v>2185792678.6335063</v>
      </c>
      <c r="I14" s="71">
        <f t="shared" si="2"/>
        <v>2371427974.1889477</v>
      </c>
      <c r="J14" s="71">
        <f t="shared" si="2"/>
        <v>2630583295.9946761</v>
      </c>
      <c r="K14" s="71">
        <f t="shared" si="2"/>
        <v>2967901777.680356</v>
      </c>
      <c r="L14" s="71">
        <f t="shared" si="2"/>
        <v>3388431442.2147255</v>
      </c>
      <c r="M14" s="71">
        <f t="shared" si="2"/>
        <v>3897656690.2092066</v>
      </c>
      <c r="N14" s="71">
        <f t="shared" si="2"/>
        <v>4501532331.6625786</v>
      </c>
      <c r="O14" s="71">
        <f t="shared" si="2"/>
        <v>5206520363.9638309</v>
      </c>
      <c r="P14" s="71">
        <f t="shared" si="2"/>
        <v>6019629715.2134418</v>
      </c>
      <c r="Q14" s="71">
        <f t="shared" si="2"/>
        <v>6948459189.4654436</v>
      </c>
      <c r="R14" s="71">
        <f t="shared" si="2"/>
        <v>8001243869.4376621</v>
      </c>
      <c r="S14" s="71">
        <f t="shared" si="2"/>
        <v>9186905252.6976547</v>
      </c>
      <c r="T14" s="71">
        <f t="shared" si="2"/>
        <v>10515105419.428411</v>
      </c>
      <c r="U14" s="71">
        <f t="shared" si="2"/>
        <v>11996305553.741726</v>
      </c>
      <c r="V14" s="71">
        <f t="shared" si="2"/>
        <v>13641829166.279612</v>
      </c>
      <c r="W14" s="71">
        <f t="shared" si="2"/>
        <v>15463930393.678087</v>
      </c>
      <c r="X14" s="71">
        <f t="shared" si="2"/>
        <v>17475867780.527847</v>
      </c>
      <c r="Y14" s="71">
        <f t="shared" si="2"/>
        <v>19691983981.930988</v>
      </c>
      <c r="Z14" s="71">
        <f t="shared" si="2"/>
        <v>22127791859.814438</v>
      </c>
    </row>
    <row r="15" spans="1:26" ht="15" customHeight="1" x14ac:dyDescent="0.3">
      <c r="A15" s="42" t="s">
        <v>402</v>
      </c>
      <c r="B15" s="71">
        <f>B13</f>
        <v>-600000000</v>
      </c>
      <c r="C15" s="71">
        <f t="shared" ref="C15:Z15" si="3">B15+C13</f>
        <v>-777243956.60000002</v>
      </c>
      <c r="D15" s="71">
        <f t="shared" si="3"/>
        <v>-901811399.49979997</v>
      </c>
      <c r="E15" s="71">
        <f t="shared" si="3"/>
        <v>-970947720.41954541</v>
      </c>
      <c r="F15" s="71">
        <f t="shared" si="3"/>
        <v>-981638535.57095695</v>
      </c>
      <c r="G15" s="71">
        <f t="shared" si="3"/>
        <v>-930589967.60149944</v>
      </c>
      <c r="H15" s="71">
        <f t="shared" si="3"/>
        <v>-814207321.36649394</v>
      </c>
      <c r="I15" s="71">
        <f t="shared" si="3"/>
        <v>-628572025.81105244</v>
      </c>
      <c r="J15" s="71">
        <f t="shared" si="3"/>
        <v>-369416704.00532413</v>
      </c>
      <c r="K15" s="71">
        <f t="shared" si="3"/>
        <v>-32098222.319643974</v>
      </c>
      <c r="L15" s="71">
        <f t="shared" si="3"/>
        <v>388431442.21472573</v>
      </c>
      <c r="M15" s="71">
        <f t="shared" si="3"/>
        <v>897656690.2092067</v>
      </c>
      <c r="N15" s="71">
        <f t="shared" si="3"/>
        <v>1501532331.6625788</v>
      </c>
      <c r="O15" s="71">
        <f t="shared" si="3"/>
        <v>2206520363.9638319</v>
      </c>
      <c r="P15" s="71">
        <f t="shared" si="3"/>
        <v>3019629715.2134423</v>
      </c>
      <c r="Q15" s="71">
        <f t="shared" si="3"/>
        <v>3948459189.4654441</v>
      </c>
      <c r="R15" s="71">
        <f t="shared" si="3"/>
        <v>5001243869.4376621</v>
      </c>
      <c r="S15" s="71">
        <f t="shared" si="3"/>
        <v>6186905252.6976547</v>
      </c>
      <c r="T15" s="71">
        <f t="shared" si="3"/>
        <v>7515105419.4284115</v>
      </c>
      <c r="U15" s="71">
        <f t="shared" si="3"/>
        <v>8996305553.7417259</v>
      </c>
      <c r="V15" s="71">
        <f t="shared" si="3"/>
        <v>10641829166.279612</v>
      </c>
      <c r="W15" s="71">
        <f t="shared" si="3"/>
        <v>12463930393.678087</v>
      </c>
      <c r="X15" s="71">
        <f t="shared" si="3"/>
        <v>14475867780.527845</v>
      </c>
      <c r="Y15" s="71">
        <f t="shared" si="3"/>
        <v>16691983981.930986</v>
      </c>
      <c r="Z15" s="71">
        <f t="shared" si="3"/>
        <v>19127791859.814434</v>
      </c>
    </row>
    <row r="17" spans="1:26" ht="15" customHeight="1" x14ac:dyDescent="0.3">
      <c r="A17" s="69" t="s">
        <v>403</v>
      </c>
    </row>
    <row r="18" spans="1:26" ht="15" customHeight="1" x14ac:dyDescent="0.3">
      <c r="A18" s="42" t="s">
        <v>395</v>
      </c>
      <c r="C18" s="70">
        <f>'3_Giả định'!$C$7*(1+'3_Giả định'!$C$8)^0</f>
        <v>10</v>
      </c>
      <c r="D18" s="70">
        <f>'3_Giả định'!$C$7*(1+'3_Giả định'!$C$8)^1</f>
        <v>10.5</v>
      </c>
      <c r="E18" s="70">
        <f>'3_Giả định'!$C$7*(1+'3_Giả định'!$C$8)^2</f>
        <v>11.025</v>
      </c>
      <c r="F18" s="70">
        <f>'3_Giả định'!$C$7*(1+'3_Giả định'!$C$8)^3</f>
        <v>11.576250000000002</v>
      </c>
      <c r="G18" s="70">
        <f>'3_Giả định'!$C$7*(1+'3_Giả định'!$C$8)^4</f>
        <v>12.1550625</v>
      </c>
      <c r="H18" s="70">
        <f>'3_Giả định'!$C$7*(1+'3_Giả định'!$C$8)^5</f>
        <v>12.762815625000002</v>
      </c>
      <c r="I18" s="70">
        <f>'3_Giả định'!$C$7*(1+'3_Giả định'!$C$8)^6</f>
        <v>13.40095640625</v>
      </c>
      <c r="J18" s="70">
        <f>'3_Giả định'!$C$7*(1+'3_Giả định'!$C$8)^7</f>
        <v>14.071004226562502</v>
      </c>
      <c r="K18" s="70">
        <f>'3_Giả định'!$C$7*(1+'3_Giả định'!$C$8)^8</f>
        <v>14.774554437890625</v>
      </c>
      <c r="L18" s="70">
        <f>'3_Giả định'!$C$7*(1+'3_Giả định'!$C$8)^9</f>
        <v>15.513282159785158</v>
      </c>
      <c r="M18" s="70">
        <f>'3_Giả định'!$C$7*(1+'3_Giả định'!$C$8)^10</f>
        <v>16.288946267774417</v>
      </c>
      <c r="N18" s="70">
        <f>'3_Giả định'!$C$7*(1+'3_Giả định'!$C$8)^11</f>
        <v>17.103393581163139</v>
      </c>
      <c r="O18" s="70">
        <f>'3_Giả định'!$C$7*(1+'3_Giả định'!$C$8)^12</f>
        <v>17.958563260221293</v>
      </c>
      <c r="P18" s="70">
        <f>'3_Giả định'!$C$7*(1+'3_Giả định'!$C$8)^13</f>
        <v>18.856491423232359</v>
      </c>
      <c r="Q18" s="70">
        <f>'3_Giả định'!$C$7*(1+'3_Giả định'!$C$8)^14</f>
        <v>19.799315994393972</v>
      </c>
      <c r="R18" s="70">
        <f>'3_Giả định'!$C$7*(1+'3_Giả định'!$C$8)^15</f>
        <v>20.789281794113677</v>
      </c>
      <c r="S18" s="70">
        <f>'3_Giả định'!$C$7*(1+'3_Giả định'!$C$8)^16</f>
        <v>21.828745883819359</v>
      </c>
      <c r="T18" s="70">
        <f>'3_Giả định'!$C$7*(1+'3_Giả định'!$C$8)^17</f>
        <v>22.920183178010333</v>
      </c>
      <c r="U18" s="70">
        <f>'3_Giả định'!$C$7*(1+'3_Giả định'!$C$8)^18</f>
        <v>24.066192336910849</v>
      </c>
      <c r="V18" s="70">
        <f>'3_Giả định'!$C$7*(1+'3_Giả định'!$C$8)^19</f>
        <v>25.269501953756389</v>
      </c>
      <c r="W18" s="70">
        <f>'3_Giả định'!$C$7*(1+'3_Giả định'!$C$8)^20</f>
        <v>26.53297705144421</v>
      </c>
      <c r="X18" s="70">
        <f>'3_Giả định'!$C$7*(1+'3_Giả định'!$C$8)^21</f>
        <v>27.859625904016418</v>
      </c>
      <c r="Y18" s="70">
        <f>'3_Giả định'!$C$7*(1+'3_Giả định'!$C$8)^22</f>
        <v>29.252607199217238</v>
      </c>
      <c r="Z18" s="70">
        <f>'3_Giả định'!$C$7*(1+'3_Giả định'!$C$8)^23</f>
        <v>30.715237559178107</v>
      </c>
    </row>
    <row r="19" spans="1:26" ht="15" customHeight="1" x14ac:dyDescent="0.3">
      <c r="A19" s="42" t="s">
        <v>396</v>
      </c>
      <c r="B19">
        <v>0</v>
      </c>
      <c r="C19" s="70">
        <f>B19*(1-'3_Giả định'!$C$9)+C18</f>
        <v>10</v>
      </c>
      <c r="D19" s="70">
        <f>C19*(1-'3_Giả định'!$C$9)+D18</f>
        <v>20.049999999999997</v>
      </c>
      <c r="E19" s="70">
        <f>D19*(1-'3_Giả định'!$C$9)+E18</f>
        <v>30.172749999999994</v>
      </c>
      <c r="F19" s="70">
        <f>E19*(1-'3_Giả định'!$C$9)+F18</f>
        <v>40.391226249999995</v>
      </c>
      <c r="G19" s="70">
        <f>F19*(1-'3_Giả định'!$C$9)+G18</f>
        <v>50.728683568749993</v>
      </c>
      <c r="H19" s="70">
        <f>G19*(1-'3_Giả định'!$C$9)+H18</f>
        <v>61.208708433156247</v>
      </c>
      <c r="I19" s="70">
        <f>H19*(1-'3_Giả định'!$C$9)+I18</f>
        <v>71.855272959914217</v>
      </c>
      <c r="J19" s="70">
        <f>I19*(1-'3_Giả định'!$C$9)+J18</f>
        <v>82.692789903280584</v>
      </c>
      <c r="K19" s="70">
        <f>J19*(1-'3_Giả định'!$C$9)+K18</f>
        <v>93.746168795523587</v>
      </c>
      <c r="L19" s="70">
        <f>K19*(1-'3_Giả định'!$C$9)+L18</f>
        <v>105.04087335951019</v>
      </c>
      <c r="M19" s="70">
        <f>L19*(1-'3_Giả định'!$C$9)+M18</f>
        <v>116.60298032610665</v>
      </c>
      <c r="N19" s="70">
        <f>M19*(1-'3_Giả định'!$C$9)+N18</f>
        <v>128.45923979259499</v>
      </c>
      <c r="O19" s="70">
        <f>N19*(1-'3_Giả định'!$C$9)+O18</f>
        <v>140.63713726214951</v>
      </c>
      <c r="P19" s="70">
        <f>O19*(1-'3_Giả định'!$C$9)+P18</f>
        <v>153.16495750858513</v>
      </c>
      <c r="Q19" s="70">
        <f>P19*(1-'3_Giả định'!$C$9)+Q18</f>
        <v>166.07185041509277</v>
      </c>
      <c r="R19" s="70">
        <f>Q19*(1-'3_Giả định'!$C$9)+R18</f>
        <v>179.38789894052724</v>
      </c>
      <c r="S19" s="70">
        <f>R19*(1-'3_Giả định'!$C$9)+S18</f>
        <v>193.14418937202285</v>
      </c>
      <c r="T19" s="70">
        <f>S19*(1-'3_Giả định'!$C$9)+T18</f>
        <v>207.37288402829216</v>
      </c>
      <c r="U19" s="70">
        <f>T19*(1-'3_Giả định'!$C$9)+U18</f>
        <v>222.10729658392987</v>
      </c>
      <c r="V19" s="70">
        <f>U19*(1-'3_Giả định'!$C$9)+V18</f>
        <v>237.38197019140941</v>
      </c>
      <c r="W19" s="70">
        <f>V19*(1-'3_Giả định'!$C$9)+W18</f>
        <v>253.2327585842402</v>
      </c>
      <c r="X19" s="70">
        <f>W19*(1-'3_Giả định'!$C$9)+X18</f>
        <v>269.69691035196581</v>
      </c>
      <c r="Y19" s="70">
        <f>X19*(1-'3_Giả định'!$C$9)+Y18</f>
        <v>286.81315658534459</v>
      </c>
      <c r="Z19" s="70">
        <f>Y19*(1-'3_Giả định'!$C$9)+Z18</f>
        <v>304.62180209818217</v>
      </c>
    </row>
    <row r="20" spans="1:26" ht="15" customHeight="1" x14ac:dyDescent="0.3">
      <c r="A20" s="42" t="s">
        <v>90</v>
      </c>
      <c r="C20" s="71">
        <f>C19*'3_Giả định'!$C$17</f>
        <v>52100000</v>
      </c>
      <c r="D20" s="71">
        <f>D19*'3_Giả định'!$C$17</f>
        <v>104460499.99999999</v>
      </c>
      <c r="E20" s="71">
        <f>E19*'3_Giả định'!$C$17</f>
        <v>157200027.49999997</v>
      </c>
      <c r="F20" s="71">
        <f>F19*'3_Giả định'!$C$17</f>
        <v>210438288.76249999</v>
      </c>
      <c r="G20" s="71">
        <f>G19*'3_Giả định'!$C$17</f>
        <v>264296441.39318746</v>
      </c>
      <c r="H20" s="71">
        <f>H19*'3_Giả định'!$C$17</f>
        <v>318897370.93674403</v>
      </c>
      <c r="I20" s="71">
        <f>I19*'3_Giả định'!$C$17</f>
        <v>374365972.12115306</v>
      </c>
      <c r="J20" s="71">
        <f>J19*'3_Giả định'!$C$17</f>
        <v>430829435.39609182</v>
      </c>
      <c r="K20" s="71">
        <f>K19*'3_Giả định'!$C$17</f>
        <v>488417539.42467791</v>
      </c>
      <c r="L20" s="71">
        <f>L19*'3_Giả định'!$C$17</f>
        <v>547262950.20304811</v>
      </c>
      <c r="M20" s="71">
        <f>M19*'3_Giả định'!$C$17</f>
        <v>607501527.49901557</v>
      </c>
      <c r="N20" s="71">
        <f>N19*'3_Giả định'!$C$17</f>
        <v>669272639.31941986</v>
      </c>
      <c r="O20" s="71">
        <f>O19*'3_Giả định'!$C$17</f>
        <v>732719485.13579893</v>
      </c>
      <c r="P20" s="71">
        <f>P19*'3_Giả định'!$C$17</f>
        <v>797989428.61972857</v>
      </c>
      <c r="Q20" s="71">
        <f>Q19*'3_Giả định'!$C$17</f>
        <v>865234340.6626333</v>
      </c>
      <c r="R20" s="71">
        <f>R19*'3_Giả định'!$C$17</f>
        <v>934610953.48014688</v>
      </c>
      <c r="S20" s="71">
        <f>S19*'3_Giả định'!$C$17</f>
        <v>1006281226.628239</v>
      </c>
      <c r="T20" s="71">
        <f>T19*'3_Giả định'!$C$17</f>
        <v>1080412725.7874022</v>
      </c>
      <c r="U20" s="71">
        <f>U19*'3_Giả định'!$C$17</f>
        <v>1157179015.2022746</v>
      </c>
      <c r="V20" s="71">
        <f>V19*'3_Giả định'!$C$17</f>
        <v>1236760064.697243</v>
      </c>
      <c r="W20" s="71">
        <f>W19*'3_Giả định'!$C$17</f>
        <v>1319342672.2238915</v>
      </c>
      <c r="X20" s="71">
        <f>X19*'3_Giả định'!$C$17</f>
        <v>1405120902.9337418</v>
      </c>
      <c r="Y20" s="71">
        <f>Y19*'3_Giả định'!$C$17</f>
        <v>1494296545.8096452</v>
      </c>
      <c r="Z20" s="71">
        <f>Z19*'3_Giả định'!$C$17</f>
        <v>1587079588.931529</v>
      </c>
    </row>
    <row r="21" spans="1:26" ht="15" customHeight="1" x14ac:dyDescent="0.3">
      <c r="A21" s="42" t="s">
        <v>397</v>
      </c>
      <c r="C21" s="71">
        <f>C19*'3_Giả định'!$C$18</f>
        <v>16193980.000000002</v>
      </c>
      <c r="D21" s="71">
        <f>D19*'3_Giả định'!$C$18</f>
        <v>32468929.899999999</v>
      </c>
      <c r="E21" s="71">
        <f>E19*'3_Giả định'!$C$18</f>
        <v>48861691.004499994</v>
      </c>
      <c r="F21" s="71">
        <f>F19*'3_Giả định'!$C$18</f>
        <v>65409471.0067975</v>
      </c>
      <c r="G21" s="71">
        <f>G19*'3_Giả định'!$C$18</f>
        <v>82149928.713866606</v>
      </c>
      <c r="H21" s="71">
        <f>H19*'3_Giả định'!$C$18</f>
        <v>99121260.019236371</v>
      </c>
      <c r="I21" s="71">
        <f>I19*'3_Giả định'!$C$18</f>
        <v>116362285.32073918</v>
      </c>
      <c r="J21" s="71">
        <f>J19*'3_Giả định'!$C$18</f>
        <v>133912538.58379279</v>
      </c>
      <c r="K21" s="71">
        <f>K19*'3_Giả định'!$C$18</f>
        <v>151812358.25513333</v>
      </c>
      <c r="L21" s="71">
        <f>L19*'3_Giả định'!$C$18</f>
        <v>170102980.23664409</v>
      </c>
      <c r="M21" s="71">
        <f>M19*'3_Giả định'!$C$18</f>
        <v>188826633.13413647</v>
      </c>
      <c r="N21" s="71">
        <f>N19*'3_Giả định'!$C$18</f>
        <v>208026636.00164875</v>
      </c>
      <c r="O21" s="71">
        <f>O19*'3_Giả định'!$C$18</f>
        <v>227747498.80805042</v>
      </c>
      <c r="P21" s="71">
        <f>P19*'3_Giả định'!$C$18</f>
        <v>248035025.85948777</v>
      </c>
      <c r="Q21" s="71">
        <f>Q19*'3_Giả định'!$C$18</f>
        <v>268936422.41850042</v>
      </c>
      <c r="R21" s="71">
        <f>R19*'3_Giả định'!$C$18</f>
        <v>290500404.76849198</v>
      </c>
      <c r="S21" s="71">
        <f>S19*'3_Giả định'!$C$18</f>
        <v>312777313.9806751</v>
      </c>
      <c r="T21" s="71">
        <f>T19*'3_Giả định'!$C$18</f>
        <v>335819233.64964831</v>
      </c>
      <c r="U21" s="71">
        <f>U19*'3_Giả định'!$C$18</f>
        <v>359680111.87342292</v>
      </c>
      <c r="V21" s="71">
        <f>V19*'3_Giả định'!$C$18</f>
        <v>384415887.76402807</v>
      </c>
      <c r="W21" s="71">
        <f>W19*'3_Giả định'!$C$18</f>
        <v>410084622.78580147</v>
      </c>
      <c r="X21" s="71">
        <f>X19*'3_Giả định'!$C$18</f>
        <v>436746637.23015279</v>
      </c>
      <c r="Y21" s="71">
        <f>Y19*'3_Giả định'!$C$18</f>
        <v>464464652.14799392</v>
      </c>
      <c r="Z21" s="71">
        <f>Z19*'3_Giả định'!$C$18</f>
        <v>493303937.07419211</v>
      </c>
    </row>
    <row r="22" spans="1:26" ht="15" customHeight="1" x14ac:dyDescent="0.3">
      <c r="A22" s="42" t="s">
        <v>92</v>
      </c>
      <c r="C22" s="71">
        <f t="shared" ref="C22:Z22" si="4">C20-C21</f>
        <v>35906020</v>
      </c>
      <c r="D22" s="71">
        <f t="shared" si="4"/>
        <v>71991570.099999994</v>
      </c>
      <c r="E22" s="71">
        <f t="shared" si="4"/>
        <v>108338336.49549997</v>
      </c>
      <c r="F22" s="71">
        <f t="shared" si="4"/>
        <v>145028817.7557025</v>
      </c>
      <c r="G22" s="71">
        <f t="shared" si="4"/>
        <v>182146512.67932087</v>
      </c>
      <c r="H22" s="71">
        <f t="shared" si="4"/>
        <v>219776110.91750765</v>
      </c>
      <c r="I22" s="71">
        <f t="shared" si="4"/>
        <v>258003686.80041388</v>
      </c>
      <c r="J22" s="71">
        <f t="shared" si="4"/>
        <v>296916896.81229901</v>
      </c>
      <c r="K22" s="71">
        <f t="shared" si="4"/>
        <v>336605181.16954458</v>
      </c>
      <c r="L22" s="71">
        <f t="shared" si="4"/>
        <v>377159969.96640402</v>
      </c>
      <c r="M22" s="71">
        <f t="shared" si="4"/>
        <v>418674894.36487913</v>
      </c>
      <c r="N22" s="71">
        <f t="shared" si="4"/>
        <v>461246003.31777108</v>
      </c>
      <c r="O22" s="71">
        <f t="shared" si="4"/>
        <v>504971986.32774854</v>
      </c>
      <c r="P22" s="71">
        <f t="shared" si="4"/>
        <v>549954402.76024079</v>
      </c>
      <c r="Q22" s="71">
        <f t="shared" si="4"/>
        <v>596297918.24413288</v>
      </c>
      <c r="R22" s="71">
        <f t="shared" si="4"/>
        <v>644110548.7116549</v>
      </c>
      <c r="S22" s="71">
        <f t="shared" si="4"/>
        <v>693503912.64756393</v>
      </c>
      <c r="T22" s="71">
        <f t="shared" si="4"/>
        <v>744593492.13775384</v>
      </c>
      <c r="U22" s="71">
        <f t="shared" si="4"/>
        <v>797498903.3288517</v>
      </c>
      <c r="V22" s="71">
        <f t="shared" si="4"/>
        <v>852344176.9332149</v>
      </c>
      <c r="W22" s="71">
        <f t="shared" si="4"/>
        <v>909258049.43809009</v>
      </c>
      <c r="X22" s="71">
        <f t="shared" si="4"/>
        <v>968374265.70358896</v>
      </c>
      <c r="Y22" s="71">
        <f t="shared" si="4"/>
        <v>1029831893.6616513</v>
      </c>
      <c r="Z22" s="71">
        <f t="shared" si="4"/>
        <v>1093775651.857337</v>
      </c>
    </row>
    <row r="23" spans="1:26" ht="15" customHeight="1" x14ac:dyDescent="0.3">
      <c r="A23" s="42" t="s">
        <v>398</v>
      </c>
      <c r="C23" s="71">
        <f>C18*'3_Giả định'!$C$10</f>
        <v>70000000</v>
      </c>
      <c r="D23" s="71">
        <f>D18*'3_Giả định'!$C$10</f>
        <v>73500000</v>
      </c>
      <c r="E23" s="71">
        <f>E18*'3_Giả định'!$C$10</f>
        <v>77175000</v>
      </c>
      <c r="F23" s="71">
        <f>F18*'3_Giả định'!$C$10</f>
        <v>81033750.000000015</v>
      </c>
      <c r="G23" s="71">
        <f>G18*'3_Giả định'!$C$10</f>
        <v>85085437.5</v>
      </c>
      <c r="H23" s="71">
        <f>H18*'3_Giả định'!$C$10</f>
        <v>89339709.375000015</v>
      </c>
      <c r="I23" s="71">
        <f>I18*'3_Giả định'!$C$10</f>
        <v>93806694.84375</v>
      </c>
      <c r="J23" s="71">
        <f>J18*'3_Giả định'!$C$10</f>
        <v>98497029.585937515</v>
      </c>
      <c r="K23" s="71">
        <f>K18*'3_Giả định'!$C$10</f>
        <v>103421881.06523438</v>
      </c>
      <c r="L23" s="71">
        <f>L18*'3_Giả định'!$C$10</f>
        <v>108592975.11849611</v>
      </c>
      <c r="M23" s="71">
        <f>M18*'3_Giả định'!$C$10</f>
        <v>114022623.87442093</v>
      </c>
      <c r="N23" s="71">
        <f>N18*'3_Giả định'!$C$10</f>
        <v>119723755.06814198</v>
      </c>
      <c r="O23" s="71">
        <f>O18*'3_Giả định'!$C$10</f>
        <v>125709942.82154906</v>
      </c>
      <c r="P23" s="71">
        <f>P18*'3_Giả định'!$C$10</f>
        <v>131995439.96262652</v>
      </c>
      <c r="Q23" s="71">
        <f>Q18*'3_Giả định'!$C$10</f>
        <v>138595211.96075779</v>
      </c>
      <c r="R23" s="71">
        <f>R18*'3_Giả định'!$C$10</f>
        <v>145524972.55879575</v>
      </c>
      <c r="S23" s="71">
        <f>S18*'3_Giả định'!$C$10</f>
        <v>152801221.18673551</v>
      </c>
      <c r="T23" s="71">
        <f>T18*'3_Giả định'!$C$10</f>
        <v>160441282.24607232</v>
      </c>
      <c r="U23" s="71">
        <f>U18*'3_Giả định'!$C$10</f>
        <v>168463346.35837594</v>
      </c>
      <c r="V23" s="71">
        <f>V18*'3_Giả định'!$C$10</f>
        <v>176886513.67629471</v>
      </c>
      <c r="W23" s="71">
        <f>W18*'3_Giả định'!$C$10</f>
        <v>185730839.36010948</v>
      </c>
      <c r="X23" s="71">
        <f>X18*'3_Giả định'!$C$10</f>
        <v>195017381.32811493</v>
      </c>
      <c r="Y23" s="71">
        <f>Y18*'3_Giả định'!$C$10</f>
        <v>204768250.39452067</v>
      </c>
      <c r="Z23" s="71">
        <f>Z18*'3_Giả định'!$C$10</f>
        <v>215006662.91424674</v>
      </c>
    </row>
    <row r="24" spans="1:26" ht="15" customHeight="1" x14ac:dyDescent="0.3">
      <c r="A24" s="42" t="s">
        <v>399</v>
      </c>
      <c r="C24" s="71">
        <f>'3_Giả định'!$C$11</f>
        <v>160000000</v>
      </c>
      <c r="D24" s="71">
        <f>'3_Giả định'!$C$11</f>
        <v>160000000</v>
      </c>
      <c r="E24" s="71">
        <f>'3_Giả định'!$C$11</f>
        <v>160000000</v>
      </c>
      <c r="F24" s="71">
        <f>'3_Giả định'!$C$11</f>
        <v>160000000</v>
      </c>
      <c r="G24" s="71">
        <f>'3_Giả định'!$C$11</f>
        <v>160000000</v>
      </c>
      <c r="H24" s="71">
        <f>'3_Giả định'!$C$11</f>
        <v>160000000</v>
      </c>
      <c r="I24" s="71">
        <f>'3_Giả định'!$C$11</f>
        <v>160000000</v>
      </c>
      <c r="J24" s="71">
        <f>'3_Giả định'!$C$11</f>
        <v>160000000</v>
      </c>
      <c r="K24" s="71">
        <f>'3_Giả định'!$C$11</f>
        <v>160000000</v>
      </c>
      <c r="L24" s="71">
        <f>'3_Giả định'!$C$11</f>
        <v>160000000</v>
      </c>
      <c r="M24" s="71">
        <f>'3_Giả định'!$C$11</f>
        <v>160000000</v>
      </c>
      <c r="N24" s="71">
        <f>'3_Giả định'!$C$11</f>
        <v>160000000</v>
      </c>
      <c r="O24" s="71">
        <f>'3_Giả định'!$C$11</f>
        <v>160000000</v>
      </c>
      <c r="P24" s="71">
        <f>'3_Giả định'!$C$11</f>
        <v>160000000</v>
      </c>
      <c r="Q24" s="71">
        <f>'3_Giả định'!$C$11</f>
        <v>160000000</v>
      </c>
      <c r="R24" s="71">
        <f>'3_Giả định'!$C$11</f>
        <v>160000000</v>
      </c>
      <c r="S24" s="71">
        <f>'3_Giả định'!$C$11</f>
        <v>160000000</v>
      </c>
      <c r="T24" s="71">
        <f>'3_Giả định'!$C$11</f>
        <v>160000000</v>
      </c>
      <c r="U24" s="71">
        <f>'3_Giả định'!$C$11</f>
        <v>160000000</v>
      </c>
      <c r="V24" s="71">
        <f>'3_Giả định'!$C$11</f>
        <v>160000000</v>
      </c>
      <c r="W24" s="71">
        <f>'3_Giả định'!$C$11</f>
        <v>160000000</v>
      </c>
      <c r="X24" s="71">
        <f>'3_Giả định'!$C$11</f>
        <v>160000000</v>
      </c>
      <c r="Y24" s="71">
        <f>'3_Giả định'!$C$11</f>
        <v>160000000</v>
      </c>
      <c r="Z24" s="71">
        <f>'3_Giả định'!$C$11</f>
        <v>160000000</v>
      </c>
    </row>
    <row r="25" spans="1:26" ht="15" customHeight="1" x14ac:dyDescent="0.3">
      <c r="A25" s="42" t="s">
        <v>400</v>
      </c>
      <c r="B25" s="71">
        <f>-'3_Giả định'!$C$12</f>
        <v>-600000000</v>
      </c>
      <c r="C25" s="71">
        <f t="shared" ref="C25:Z25" si="5">C22-C23-C24</f>
        <v>-194093980</v>
      </c>
      <c r="D25" s="71">
        <f t="shared" si="5"/>
        <v>-161508429.90000001</v>
      </c>
      <c r="E25" s="71">
        <f t="shared" si="5"/>
        <v>-128836663.50450003</v>
      </c>
      <c r="F25" s="71">
        <f t="shared" si="5"/>
        <v>-96004932.244297519</v>
      </c>
      <c r="G25" s="71">
        <f t="shared" si="5"/>
        <v>-62938924.820679128</v>
      </c>
      <c r="H25" s="71">
        <f t="shared" si="5"/>
        <v>-29563598.457492366</v>
      </c>
      <c r="I25" s="71">
        <f t="shared" si="5"/>
        <v>4196991.9566638768</v>
      </c>
      <c r="J25" s="71">
        <f t="shared" si="5"/>
        <v>38419867.226361513</v>
      </c>
      <c r="K25" s="71">
        <f t="shared" si="5"/>
        <v>73183300.104310215</v>
      </c>
      <c r="L25" s="71">
        <f t="shared" si="5"/>
        <v>108566994.8479079</v>
      </c>
      <c r="M25" s="71">
        <f t="shared" si="5"/>
        <v>144652270.49045819</v>
      </c>
      <c r="N25" s="71">
        <f t="shared" si="5"/>
        <v>181522248.24962908</v>
      </c>
      <c r="O25" s="71">
        <f t="shared" si="5"/>
        <v>219262043.50619948</v>
      </c>
      <c r="P25" s="71">
        <f t="shared" si="5"/>
        <v>257958962.79761428</v>
      </c>
      <c r="Q25" s="71">
        <f t="shared" si="5"/>
        <v>297702706.28337508</v>
      </c>
      <c r="R25" s="71">
        <f t="shared" si="5"/>
        <v>338585576.15285915</v>
      </c>
      <c r="S25" s="71">
        <f t="shared" si="5"/>
        <v>380702691.46082842</v>
      </c>
      <c r="T25" s="71">
        <f t="shared" si="5"/>
        <v>424152209.89168155</v>
      </c>
      <c r="U25" s="71">
        <f t="shared" si="5"/>
        <v>469035556.97047579</v>
      </c>
      <c r="V25" s="71">
        <f t="shared" si="5"/>
        <v>515457663.25692022</v>
      </c>
      <c r="W25" s="71">
        <f t="shared" si="5"/>
        <v>563527210.07798064</v>
      </c>
      <c r="X25" s="71">
        <f t="shared" si="5"/>
        <v>613356884.37547398</v>
      </c>
      <c r="Y25" s="71">
        <f t="shared" si="5"/>
        <v>665063643.26713061</v>
      </c>
      <c r="Z25" s="71">
        <f t="shared" si="5"/>
        <v>718768988.9430902</v>
      </c>
    </row>
    <row r="26" spans="1:26" ht="15" customHeight="1" x14ac:dyDescent="0.3">
      <c r="A26" s="42" t="s">
        <v>401</v>
      </c>
      <c r="B26" s="71">
        <f>'3_Giả định'!$C$13+B25</f>
        <v>2400000000</v>
      </c>
      <c r="C26" s="71">
        <f t="shared" ref="C26:Z26" si="6">B26+C25</f>
        <v>2205906020</v>
      </c>
      <c r="D26" s="71">
        <f t="shared" si="6"/>
        <v>2044397590.0999999</v>
      </c>
      <c r="E26" s="71">
        <f t="shared" si="6"/>
        <v>1915560926.5955</v>
      </c>
      <c r="F26" s="71">
        <f t="shared" si="6"/>
        <v>1819555994.3512025</v>
      </c>
      <c r="G26" s="71">
        <f t="shared" si="6"/>
        <v>1756617069.5305233</v>
      </c>
      <c r="H26" s="71">
        <f t="shared" si="6"/>
        <v>1727053471.0730309</v>
      </c>
      <c r="I26" s="71">
        <f t="shared" si="6"/>
        <v>1731250463.0296948</v>
      </c>
      <c r="J26" s="71">
        <f t="shared" si="6"/>
        <v>1769670330.2560563</v>
      </c>
      <c r="K26" s="71">
        <f t="shared" si="6"/>
        <v>1842853630.3603666</v>
      </c>
      <c r="L26" s="71">
        <f t="shared" si="6"/>
        <v>1951420625.2082744</v>
      </c>
      <c r="M26" s="71">
        <f t="shared" si="6"/>
        <v>2096072895.6987326</v>
      </c>
      <c r="N26" s="71">
        <f t="shared" si="6"/>
        <v>2277595143.9483619</v>
      </c>
      <c r="O26" s="71">
        <f t="shared" si="6"/>
        <v>2496857187.4545612</v>
      </c>
      <c r="P26" s="71">
        <f t="shared" si="6"/>
        <v>2754816150.2521753</v>
      </c>
      <c r="Q26" s="71">
        <f t="shared" si="6"/>
        <v>3052518856.5355506</v>
      </c>
      <c r="R26" s="71">
        <f t="shared" si="6"/>
        <v>3391104432.6884098</v>
      </c>
      <c r="S26" s="71">
        <f t="shared" si="6"/>
        <v>3771807124.1492381</v>
      </c>
      <c r="T26" s="71">
        <f t="shared" si="6"/>
        <v>4195959334.0409198</v>
      </c>
      <c r="U26" s="71">
        <f t="shared" si="6"/>
        <v>4664994891.0113955</v>
      </c>
      <c r="V26" s="71">
        <f t="shared" si="6"/>
        <v>5180452554.2683153</v>
      </c>
      <c r="W26" s="71">
        <f t="shared" si="6"/>
        <v>5743979764.3462963</v>
      </c>
      <c r="X26" s="71">
        <f t="shared" si="6"/>
        <v>6357336648.7217703</v>
      </c>
      <c r="Y26" s="71">
        <f t="shared" si="6"/>
        <v>7022400291.9889011</v>
      </c>
      <c r="Z26" s="71">
        <f t="shared" si="6"/>
        <v>7741169280.9319916</v>
      </c>
    </row>
    <row r="27" spans="1:26" ht="15" customHeight="1" x14ac:dyDescent="0.3">
      <c r="A27" s="42" t="s">
        <v>402</v>
      </c>
      <c r="B27" s="71">
        <f>B25</f>
        <v>-600000000</v>
      </c>
      <c r="C27" s="71">
        <f t="shared" ref="C27:Z27" si="7">B27+C25</f>
        <v>-794093980</v>
      </c>
      <c r="D27" s="71">
        <f t="shared" si="7"/>
        <v>-955602409.89999998</v>
      </c>
      <c r="E27" s="71">
        <f t="shared" si="7"/>
        <v>-1084439073.4045</v>
      </c>
      <c r="F27" s="71">
        <f t="shared" si="7"/>
        <v>-1180444005.6487975</v>
      </c>
      <c r="G27" s="71">
        <f t="shared" si="7"/>
        <v>-1243382930.4694767</v>
      </c>
      <c r="H27" s="71">
        <f t="shared" si="7"/>
        <v>-1272946528.9269691</v>
      </c>
      <c r="I27" s="71">
        <f t="shared" si="7"/>
        <v>-1268749536.9703052</v>
      </c>
      <c r="J27" s="71">
        <f t="shared" si="7"/>
        <v>-1230329669.7439437</v>
      </c>
      <c r="K27" s="71">
        <f t="shared" si="7"/>
        <v>-1157146369.6396334</v>
      </c>
      <c r="L27" s="71">
        <f t="shared" si="7"/>
        <v>-1048579374.7917255</v>
      </c>
      <c r="M27" s="71">
        <f t="shared" si="7"/>
        <v>-903927104.30126739</v>
      </c>
      <c r="N27" s="71">
        <f t="shared" si="7"/>
        <v>-722404856.05163836</v>
      </c>
      <c r="O27" s="71">
        <f t="shared" si="7"/>
        <v>-503142812.54543889</v>
      </c>
      <c r="P27" s="71">
        <f t="shared" si="7"/>
        <v>-245183849.74782461</v>
      </c>
      <c r="Q27" s="71">
        <f t="shared" si="7"/>
        <v>52518856.535550475</v>
      </c>
      <c r="R27" s="71">
        <f t="shared" si="7"/>
        <v>391104432.68840963</v>
      </c>
      <c r="S27" s="71">
        <f t="shared" si="7"/>
        <v>771807124.14923811</v>
      </c>
      <c r="T27" s="71">
        <f t="shared" si="7"/>
        <v>1195959334.0409198</v>
      </c>
      <c r="U27" s="71">
        <f t="shared" si="7"/>
        <v>1664994891.0113955</v>
      </c>
      <c r="V27" s="71">
        <f t="shared" si="7"/>
        <v>2180452554.2683158</v>
      </c>
      <c r="W27" s="71">
        <f t="shared" si="7"/>
        <v>2743979764.3462963</v>
      </c>
      <c r="X27" s="71">
        <f t="shared" si="7"/>
        <v>3357336648.7217703</v>
      </c>
      <c r="Y27" s="71">
        <f t="shared" si="7"/>
        <v>4022400291.9889011</v>
      </c>
      <c r="Z27" s="71">
        <f t="shared" si="7"/>
        <v>4741169280.9319916</v>
      </c>
    </row>
    <row r="29" spans="1:26" ht="15" customHeight="1" x14ac:dyDescent="0.3">
      <c r="A29" s="69" t="s">
        <v>404</v>
      </c>
    </row>
    <row r="30" spans="1:26" ht="15" customHeight="1" x14ac:dyDescent="0.3">
      <c r="A30" s="42" t="s">
        <v>395</v>
      </c>
      <c r="C30" s="70">
        <f>'3_Giả định'!$D$7*(1+'3_Giả định'!$D$8)^0</f>
        <v>5</v>
      </c>
      <c r="D30" s="70">
        <f>'3_Giả định'!$D$7*(1+'3_Giả định'!$D$8)^1</f>
        <v>5.0999999999999996</v>
      </c>
      <c r="E30" s="70">
        <f>'3_Giả định'!$D$7*(1+'3_Giả định'!$D$8)^2</f>
        <v>5.202</v>
      </c>
      <c r="F30" s="70">
        <f>'3_Giả định'!$D$7*(1+'3_Giả định'!$D$8)^3</f>
        <v>5.3060399999999994</v>
      </c>
      <c r="G30" s="70">
        <f>'3_Giả định'!$D$7*(1+'3_Giả định'!$D$8)^4</f>
        <v>5.4121607999999997</v>
      </c>
      <c r="H30" s="70">
        <f>'3_Giả định'!$D$7*(1+'3_Giả định'!$D$8)^5</f>
        <v>5.5204040160000005</v>
      </c>
      <c r="I30" s="70">
        <f>'3_Giả định'!$D$7*(1+'3_Giả định'!$D$8)^6</f>
        <v>5.6308120963200006</v>
      </c>
      <c r="J30" s="70">
        <f>'3_Giả định'!$D$7*(1+'3_Giả định'!$D$8)^7</f>
        <v>5.7434283382463995</v>
      </c>
      <c r="K30" s="70">
        <f>'3_Giả định'!$D$7*(1+'3_Giả định'!$D$8)^8</f>
        <v>5.8582969050113274</v>
      </c>
      <c r="L30" s="70">
        <f>'3_Giả định'!$D$7*(1+'3_Giả định'!$D$8)^9</f>
        <v>5.9754628431115542</v>
      </c>
      <c r="M30" s="70">
        <f>'3_Giả định'!$D$7*(1+'3_Giả định'!$D$8)^10</f>
        <v>6.094972099973786</v>
      </c>
      <c r="N30" s="70">
        <f>'3_Giả định'!$D$7*(1+'3_Giả định'!$D$8)^11</f>
        <v>6.2168715419732603</v>
      </c>
      <c r="O30" s="70">
        <f>'3_Giả định'!$D$7*(1+'3_Giả định'!$D$8)^12</f>
        <v>6.3412089728127263</v>
      </c>
      <c r="P30" s="70">
        <f>'3_Giả định'!$D$7*(1+'3_Giả định'!$D$8)^13</f>
        <v>6.4680331522689807</v>
      </c>
      <c r="Q30" s="70">
        <f>'3_Giả định'!$D$7*(1+'3_Giả định'!$D$8)^14</f>
        <v>6.5973938153143603</v>
      </c>
      <c r="R30" s="70">
        <f>'3_Giả định'!$D$7*(1+'3_Giả định'!$D$8)^15</f>
        <v>6.7293416916206459</v>
      </c>
      <c r="S30" s="70">
        <f>'3_Giả định'!$D$7*(1+'3_Giả định'!$D$8)^16</f>
        <v>6.8639285254530602</v>
      </c>
      <c r="T30" s="70">
        <f>'3_Giả định'!$D$7*(1+'3_Giả định'!$D$8)^17</f>
        <v>7.0012070959621218</v>
      </c>
      <c r="U30" s="70">
        <f>'3_Giả định'!$D$7*(1+'3_Giả định'!$D$8)^18</f>
        <v>7.1412312378813638</v>
      </c>
      <c r="V30" s="70">
        <f>'3_Giả định'!$D$7*(1+'3_Giả định'!$D$8)^19</f>
        <v>7.2840558626389909</v>
      </c>
      <c r="W30" s="70">
        <f>'3_Giả định'!$D$7*(1+'3_Giả định'!$D$8)^20</f>
        <v>7.4297369798917714</v>
      </c>
      <c r="X30" s="70">
        <f>'3_Giả định'!$D$7*(1+'3_Giả định'!$D$8)^21</f>
        <v>7.578331719489606</v>
      </c>
      <c r="Y30" s="70">
        <f>'3_Giả định'!$D$7*(1+'3_Giả định'!$D$8)^22</f>
        <v>7.7298983538793991</v>
      </c>
      <c r="Z30" s="70">
        <f>'3_Giả định'!$D$7*(1+'3_Giả định'!$D$8)^23</f>
        <v>7.8844963209569849</v>
      </c>
    </row>
    <row r="31" spans="1:26" ht="15" customHeight="1" x14ac:dyDescent="0.3">
      <c r="A31" s="42" t="s">
        <v>396</v>
      </c>
      <c r="B31">
        <v>0</v>
      </c>
      <c r="C31" s="70">
        <f>B31*(1-'3_Giả định'!$D$9)+C30</f>
        <v>5</v>
      </c>
      <c r="D31" s="70">
        <f>C31*(1-'3_Giả định'!$D$9)+D30</f>
        <v>9.74</v>
      </c>
      <c r="E31" s="70">
        <f>D31*(1-'3_Giả định'!$D$9)+E30</f>
        <v>14.240720000000001</v>
      </c>
      <c r="F31" s="70">
        <f>E31*(1-'3_Giả định'!$D$9)+F30</f>
        <v>18.521428159999999</v>
      </c>
      <c r="G31" s="70">
        <f>F31*(1-'3_Giả định'!$D$9)+G30</f>
        <v>22.600046132479999</v>
      </c>
      <c r="H31" s="70">
        <f>G31*(1-'3_Giả định'!$D$9)+H30</f>
        <v>26.493246826941441</v>
      </c>
      <c r="I31" s="70">
        <f>H31*(1-'3_Giả định'!$D$9)+I30</f>
        <v>30.216545151721657</v>
      </c>
      <c r="J31" s="70">
        <f>I31*(1-'3_Giả định'!$D$9)+J30</f>
        <v>33.784382239044099</v>
      </c>
      <c r="K31" s="70">
        <f>J31*(1-'3_Giả định'!$D$9)+K30</f>
        <v>37.210203622844254</v>
      </c>
      <c r="L31" s="70">
        <f>K31*(1-'3_Giả định'!$D$9)+L30</f>
        <v>40.506531805111024</v>
      </c>
      <c r="M31" s="70">
        <f>L31*(1-'3_Giả định'!$D$9)+M30</f>
        <v>43.685033615116822</v>
      </c>
      <c r="N31" s="70">
        <f>M31*(1-'3_Giả định'!$D$9)+N30</f>
        <v>46.756582736801676</v>
      </c>
      <c r="O31" s="70">
        <f>N31*(1-'3_Giả định'!$D$9)+O30</f>
        <v>49.731317752564678</v>
      </c>
      <c r="P31" s="70">
        <f>O31*(1-'3_Giả định'!$D$9)+P30</f>
        <v>52.618696026649005</v>
      </c>
      <c r="Q31" s="70">
        <f>P31*(1-'3_Giả định'!$D$9)+Q30</f>
        <v>55.42754372804464</v>
      </c>
      <c r="R31" s="70">
        <f>Q31*(1-'3_Giả định'!$D$9)+R30</f>
        <v>58.166102271246075</v>
      </c>
      <c r="S31" s="70">
        <f>R31*(1-'3_Giả định'!$D$9)+S30</f>
        <v>60.842071433169423</v>
      </c>
      <c r="T31" s="70">
        <f>S31*(1-'3_Giả định'!$D$9)+T30</f>
        <v>63.462649385943351</v>
      </c>
      <c r="U31" s="70">
        <f>T31*(1-'3_Giả định'!$D$9)+U30</f>
        <v>66.034569868036797</v>
      </c>
      <c r="V31" s="70">
        <f>U31*(1-'3_Giả định'!$D$9)+V30</f>
        <v>68.564136700177144</v>
      </c>
      <c r="W31" s="70">
        <f>V31*(1-'3_Giả định'!$D$9)+W30</f>
        <v>71.057255837656157</v>
      </c>
      <c r="X31" s="70">
        <f>W31*(1-'3_Giả định'!$D$9)+X30</f>
        <v>73.519465136834526</v>
      </c>
      <c r="Y31" s="70">
        <f>X31*(1-'3_Giả định'!$D$9)+Y30</f>
        <v>75.955962000861831</v>
      </c>
      <c r="Z31" s="70">
        <f>Y31*(1-'3_Giả định'!$D$9)+Z30</f>
        <v>78.371629057756763</v>
      </c>
    </row>
    <row r="32" spans="1:26" ht="15" customHeight="1" x14ac:dyDescent="0.3">
      <c r="A32" s="42" t="s">
        <v>90</v>
      </c>
      <c r="C32" s="71">
        <f>C31*'3_Giả định'!$D$17</f>
        <v>20840000</v>
      </c>
      <c r="D32" s="71">
        <f>D31*'3_Giả định'!$D$17</f>
        <v>40596320</v>
      </c>
      <c r="E32" s="71">
        <f>E31*'3_Giả định'!$D$17</f>
        <v>59355320.960000008</v>
      </c>
      <c r="F32" s="71">
        <f>F31*'3_Giả định'!$D$17</f>
        <v>77197312.570879996</v>
      </c>
      <c r="G32" s="71">
        <f>G31*'3_Giả định'!$D$17</f>
        <v>94196992.28017664</v>
      </c>
      <c r="H32" s="71">
        <f>H31*'3_Giả định'!$D$17</f>
        <v>110423852.77469192</v>
      </c>
      <c r="I32" s="71">
        <f>I31*'3_Giả định'!$D$17</f>
        <v>125942560.19237587</v>
      </c>
      <c r="J32" s="71">
        <f>J31*'3_Giả định'!$D$17</f>
        <v>140813305.1723358</v>
      </c>
      <c r="K32" s="71">
        <f>K31*'3_Giả định'!$D$17</f>
        <v>155092128.70001486</v>
      </c>
      <c r="L32" s="71">
        <f>L31*'3_Giả định'!$D$17</f>
        <v>168831224.56370276</v>
      </c>
      <c r="M32" s="71">
        <f>M31*'3_Giả định'!$D$17</f>
        <v>182079220.10780692</v>
      </c>
      <c r="N32" s="71">
        <f>N31*'3_Giả định'!$D$17</f>
        <v>194881436.84698939</v>
      </c>
      <c r="O32" s="71">
        <f>O31*'3_Giả định'!$D$17</f>
        <v>207280132.39268959</v>
      </c>
      <c r="P32" s="71">
        <f>P31*'3_Giả định'!$D$17</f>
        <v>219314725.03907305</v>
      </c>
      <c r="Q32" s="71">
        <f>Q31*'3_Giả định'!$D$17</f>
        <v>231022002.25849006</v>
      </c>
      <c r="R32" s="71">
        <f>R31*'3_Giả định'!$D$17</f>
        <v>242436314.26655364</v>
      </c>
      <c r="S32" s="71">
        <f>S31*'3_Giả định'!$D$17</f>
        <v>253589753.73345014</v>
      </c>
      <c r="T32" s="71">
        <f>T31*'3_Giả định'!$D$17</f>
        <v>264512322.64061189</v>
      </c>
      <c r="U32" s="71">
        <f>U31*'3_Giả định'!$D$17</f>
        <v>275232087.20997739</v>
      </c>
      <c r="V32" s="71">
        <f>V31*'3_Giả định'!$D$17</f>
        <v>285775321.76633835</v>
      </c>
      <c r="W32" s="71">
        <f>W31*'3_Giả định'!$D$17</f>
        <v>296166642.33135086</v>
      </c>
      <c r="X32" s="71">
        <f>X31*'3_Giả định'!$D$17</f>
        <v>306429130.69032633</v>
      </c>
      <c r="Y32" s="71">
        <f>Y31*'3_Giả định'!$D$17</f>
        <v>316584449.61959213</v>
      </c>
      <c r="Z32" s="71">
        <f>Z31*'3_Giả định'!$D$17</f>
        <v>326652949.91273022</v>
      </c>
    </row>
    <row r="33" spans="1:26" ht="15" customHeight="1" x14ac:dyDescent="0.3">
      <c r="A33" s="42" t="s">
        <v>397</v>
      </c>
      <c r="C33" s="71">
        <f>C31*'3_Giả định'!$D$18</f>
        <v>9716388</v>
      </c>
      <c r="D33" s="71">
        <f>D31*'3_Giả định'!$D$18</f>
        <v>18927523.824000001</v>
      </c>
      <c r="E33" s="71">
        <f>E31*'3_Giả định'!$D$18</f>
        <v>27673672.183872003</v>
      </c>
      <c r="F33" s="71">
        <f>F31*'3_Giả định'!$D$18</f>
        <v>35992276.463337213</v>
      </c>
      <c r="G33" s="71">
        <f>G31*'3_Giả định'!$D$18</f>
        <v>43918163.408215016</v>
      </c>
      <c r="H33" s="71">
        <f>H31*'3_Giả định'!$D$18</f>
        <v>51483733.110066384</v>
      </c>
      <c r="I33" s="71">
        <f>I31*'3_Giả định'!$D$18</f>
        <v>58719135.3427293</v>
      </c>
      <c r="J33" s="71">
        <f>J31*'3_Giả định'!$D$18</f>
        <v>65652433.234972246</v>
      </c>
      <c r="K33" s="71">
        <f>K31*'3_Giả định'!$D$18</f>
        <v>72309755.191712096</v>
      </c>
      <c r="L33" s="71">
        <f>L31*'3_Giả định'!$D$18</f>
        <v>78715435.910559818</v>
      </c>
      <c r="M33" s="71">
        <f>M31*'3_Giả định'!$D$18</f>
        <v>84892147.279503539</v>
      </c>
      <c r="N33" s="71">
        <f>N31*'3_Giả định'!$D$18</f>
        <v>90861019.884973392</v>
      </c>
      <c r="O33" s="71">
        <f>O31*'3_Giả định'!$D$18</f>
        <v>96641755.807041287</v>
      </c>
      <c r="P33" s="71">
        <f>P31*'3_Giả định'!$D$18</f>
        <v>102252733.32979602</v>
      </c>
      <c r="Q33" s="71">
        <f>Q31*'3_Giả định'!$D$18</f>
        <v>107711104.14972964</v>
      </c>
      <c r="R33" s="71">
        <f>R31*'3_Giả định'!$D$18</f>
        <v>113032883.62302163</v>
      </c>
      <c r="S33" s="71">
        <f>S31*'3_Giả định'!$D$18</f>
        <v>118233034.55367804</v>
      </c>
      <c r="T33" s="71">
        <f>T31*'3_Giả định'!$D$18</f>
        <v>123325544.98835747</v>
      </c>
      <c r="U33" s="71">
        <f>U31*'3_Giả định'!$D$18</f>
        <v>128323500.45019087</v>
      </c>
      <c r="V33" s="71">
        <f>V31*'3_Giả định'!$D$18</f>
        <v>133239151.01279217</v>
      </c>
      <c r="W33" s="71">
        <f>W31*'3_Giả định'!$D$18</f>
        <v>138083973.58678645</v>
      </c>
      <c r="X33" s="71">
        <f>X31*'3_Giả định'!$D$18</f>
        <v>142868729.76439148</v>
      </c>
      <c r="Y33" s="71">
        <f>Y31*'3_Giả định'!$D$18</f>
        <v>147603519.54272598</v>
      </c>
      <c r="Z33" s="71">
        <f>Z31*'3_Giả định'!$D$18</f>
        <v>152297831.22344783</v>
      </c>
    </row>
    <row r="34" spans="1:26" ht="15" customHeight="1" x14ac:dyDescent="0.3">
      <c r="A34" s="42" t="s">
        <v>92</v>
      </c>
      <c r="C34" s="71">
        <f t="shared" ref="C34:Z34" si="8">C32-C33</f>
        <v>11123612</v>
      </c>
      <c r="D34" s="71">
        <f t="shared" si="8"/>
        <v>21668796.175999999</v>
      </c>
      <c r="E34" s="71">
        <f t="shared" si="8"/>
        <v>31681648.776128005</v>
      </c>
      <c r="F34" s="71">
        <f t="shared" si="8"/>
        <v>41205036.107542783</v>
      </c>
      <c r="G34" s="71">
        <f t="shared" si="8"/>
        <v>50278828.871961623</v>
      </c>
      <c r="H34" s="71">
        <f t="shared" si="8"/>
        <v>58940119.66462554</v>
      </c>
      <c r="I34" s="71">
        <f t="shared" si="8"/>
        <v>67223424.849646568</v>
      </c>
      <c r="J34" s="71">
        <f t="shared" si="8"/>
        <v>75160871.937363565</v>
      </c>
      <c r="K34" s="71">
        <f t="shared" si="8"/>
        <v>82782373.508302763</v>
      </c>
      <c r="L34" s="71">
        <f t="shared" si="8"/>
        <v>90115788.653142944</v>
      </c>
      <c r="M34" s="71">
        <f t="shared" si="8"/>
        <v>97187072.828303382</v>
      </c>
      <c r="N34" s="71">
        <f t="shared" si="8"/>
        <v>104020416.962016</v>
      </c>
      <c r="O34" s="71">
        <f t="shared" si="8"/>
        <v>110638376.5856483</v>
      </c>
      <c r="P34" s="71">
        <f t="shared" si="8"/>
        <v>117061991.70927703</v>
      </c>
      <c r="Q34" s="71">
        <f t="shared" si="8"/>
        <v>123310898.10876042</v>
      </c>
      <c r="R34" s="71">
        <f t="shared" si="8"/>
        <v>129403430.64353201</v>
      </c>
      <c r="S34" s="71">
        <f t="shared" si="8"/>
        <v>135356719.17977211</v>
      </c>
      <c r="T34" s="71">
        <f t="shared" si="8"/>
        <v>141186777.6522544</v>
      </c>
      <c r="U34" s="71">
        <f t="shared" si="8"/>
        <v>146908586.75978652</v>
      </c>
      <c r="V34" s="71">
        <f t="shared" si="8"/>
        <v>152536170.75354618</v>
      </c>
      <c r="W34" s="71">
        <f t="shared" si="8"/>
        <v>158082668.74456441</v>
      </c>
      <c r="X34" s="71">
        <f t="shared" si="8"/>
        <v>163560400.92593485</v>
      </c>
      <c r="Y34" s="71">
        <f t="shared" si="8"/>
        <v>168980930.07686615</v>
      </c>
      <c r="Z34" s="71">
        <f t="shared" si="8"/>
        <v>174355118.68928239</v>
      </c>
    </row>
    <row r="35" spans="1:26" ht="15" customHeight="1" x14ac:dyDescent="0.3">
      <c r="A35" s="42" t="s">
        <v>398</v>
      </c>
      <c r="C35" s="71">
        <f>C30*'3_Giả định'!$D$10</f>
        <v>52500000</v>
      </c>
      <c r="D35" s="71">
        <f>D30*'3_Giả định'!$D$10</f>
        <v>53549999.999999993</v>
      </c>
      <c r="E35" s="71">
        <f>E30*'3_Giả định'!$D$10</f>
        <v>54621000</v>
      </c>
      <c r="F35" s="71">
        <f>F30*'3_Giả định'!$D$10</f>
        <v>55713419.999999993</v>
      </c>
      <c r="G35" s="71">
        <f>G30*'3_Giả định'!$D$10</f>
        <v>56827688.399999999</v>
      </c>
      <c r="H35" s="71">
        <f>H30*'3_Giả định'!$D$10</f>
        <v>57964242.168000005</v>
      </c>
      <c r="I35" s="71">
        <f>I30*'3_Giả định'!$D$10</f>
        <v>59123527.011360005</v>
      </c>
      <c r="J35" s="71">
        <f>J30*'3_Giả định'!$D$10</f>
        <v>60305997.551587194</v>
      </c>
      <c r="K35" s="71">
        <f>K30*'3_Giả định'!$D$10</f>
        <v>61512117.502618939</v>
      </c>
      <c r="L35" s="71">
        <f>L30*'3_Giả định'!$D$10</f>
        <v>62742359.852671318</v>
      </c>
      <c r="M35" s="71">
        <f>M30*'3_Giả định'!$D$10</f>
        <v>63997207.04972475</v>
      </c>
      <c r="N35" s="71">
        <f>N30*'3_Giả định'!$D$10</f>
        <v>65277151.190719232</v>
      </c>
      <c r="O35" s="71">
        <f>O30*'3_Giả định'!$D$10</f>
        <v>66582694.214533627</v>
      </c>
      <c r="P35" s="71">
        <f>P30*'3_Giả định'!$D$10</f>
        <v>67914348.098824292</v>
      </c>
      <c r="Q35" s="71">
        <f>Q30*'3_Giả định'!$D$10</f>
        <v>69272635.060800776</v>
      </c>
      <c r="R35" s="71">
        <f>R30*'3_Giả định'!$D$10</f>
        <v>70658087.762016788</v>
      </c>
      <c r="S35" s="71">
        <f>S30*'3_Giả định'!$D$10</f>
        <v>72071249.517257139</v>
      </c>
      <c r="T35" s="71">
        <f>T30*'3_Giả định'!$D$10</f>
        <v>73512674.507602274</v>
      </c>
      <c r="U35" s="71">
        <f>U30*'3_Giả định'!$D$10</f>
        <v>74982927.997754321</v>
      </c>
      <c r="V35" s="71">
        <f>V30*'3_Giả định'!$D$10</f>
        <v>76482586.557709411</v>
      </c>
      <c r="W35" s="71">
        <f>W30*'3_Giả định'!$D$10</f>
        <v>78012238.288863599</v>
      </c>
      <c r="X35" s="71">
        <f>X30*'3_Giả định'!$D$10</f>
        <v>79572483.054640859</v>
      </c>
      <c r="Y35" s="71">
        <f>Y30*'3_Giả định'!$D$10</f>
        <v>81163932.715733692</v>
      </c>
      <c r="Z35" s="71">
        <f>Z30*'3_Giả định'!$D$10</f>
        <v>82787211.370048344</v>
      </c>
    </row>
    <row r="36" spans="1:26" ht="15" customHeight="1" x14ac:dyDescent="0.3">
      <c r="A36" s="42" t="s">
        <v>399</v>
      </c>
      <c r="C36" s="71">
        <f>'3_Giả định'!$D$11</f>
        <v>160000000</v>
      </c>
      <c r="D36" s="71">
        <f>'3_Giả định'!$D$11</f>
        <v>160000000</v>
      </c>
      <c r="E36" s="71">
        <f>'3_Giả định'!$D$11</f>
        <v>160000000</v>
      </c>
      <c r="F36" s="71">
        <f>'3_Giả định'!$D$11</f>
        <v>160000000</v>
      </c>
      <c r="G36" s="71">
        <f>'3_Giả định'!$D$11</f>
        <v>160000000</v>
      </c>
      <c r="H36" s="71">
        <f>'3_Giả định'!$D$11</f>
        <v>160000000</v>
      </c>
      <c r="I36" s="71">
        <f>'3_Giả định'!$D$11</f>
        <v>160000000</v>
      </c>
      <c r="J36" s="71">
        <f>'3_Giả định'!$D$11</f>
        <v>160000000</v>
      </c>
      <c r="K36" s="71">
        <f>'3_Giả định'!$D$11</f>
        <v>160000000</v>
      </c>
      <c r="L36" s="71">
        <f>'3_Giả định'!$D$11</f>
        <v>160000000</v>
      </c>
      <c r="M36" s="71">
        <f>'3_Giả định'!$D$11</f>
        <v>160000000</v>
      </c>
      <c r="N36" s="71">
        <f>'3_Giả định'!$D$11</f>
        <v>160000000</v>
      </c>
      <c r="O36" s="71">
        <f>'3_Giả định'!$D$11</f>
        <v>160000000</v>
      </c>
      <c r="P36" s="71">
        <f>'3_Giả định'!$D$11</f>
        <v>160000000</v>
      </c>
      <c r="Q36" s="71">
        <f>'3_Giả định'!$D$11</f>
        <v>160000000</v>
      </c>
      <c r="R36" s="71">
        <f>'3_Giả định'!$D$11</f>
        <v>160000000</v>
      </c>
      <c r="S36" s="71">
        <f>'3_Giả định'!$D$11</f>
        <v>160000000</v>
      </c>
      <c r="T36" s="71">
        <f>'3_Giả định'!$D$11</f>
        <v>160000000</v>
      </c>
      <c r="U36" s="71">
        <f>'3_Giả định'!$D$11</f>
        <v>160000000</v>
      </c>
      <c r="V36" s="71">
        <f>'3_Giả định'!$D$11</f>
        <v>160000000</v>
      </c>
      <c r="W36" s="71">
        <f>'3_Giả định'!$D$11</f>
        <v>160000000</v>
      </c>
      <c r="X36" s="71">
        <f>'3_Giả định'!$D$11</f>
        <v>160000000</v>
      </c>
      <c r="Y36" s="71">
        <f>'3_Giả định'!$D$11</f>
        <v>160000000</v>
      </c>
      <c r="Z36" s="71">
        <f>'3_Giả định'!$D$11</f>
        <v>160000000</v>
      </c>
    </row>
    <row r="37" spans="1:26" ht="15" customHeight="1" x14ac:dyDescent="0.3">
      <c r="A37" s="42" t="s">
        <v>400</v>
      </c>
      <c r="B37" s="71">
        <f>-'3_Giả định'!$D$12</f>
        <v>-600000000</v>
      </c>
      <c r="C37" s="71">
        <f t="shared" ref="C37:Z37" si="9">C34-C35-C36</f>
        <v>-201376388</v>
      </c>
      <c r="D37" s="71">
        <f t="shared" si="9"/>
        <v>-191881203.824</v>
      </c>
      <c r="E37" s="71">
        <f t="shared" si="9"/>
        <v>-182939351.22387201</v>
      </c>
      <c r="F37" s="71">
        <f t="shared" si="9"/>
        <v>-174508383.89245722</v>
      </c>
      <c r="G37" s="71">
        <f t="shared" si="9"/>
        <v>-166548859.52803838</v>
      </c>
      <c r="H37" s="71">
        <f t="shared" si="9"/>
        <v>-159024122.50337446</v>
      </c>
      <c r="I37" s="71">
        <f t="shared" si="9"/>
        <v>-151900102.16171342</v>
      </c>
      <c r="J37" s="71">
        <f t="shared" si="9"/>
        <v>-145145125.61422363</v>
      </c>
      <c r="K37" s="71">
        <f t="shared" si="9"/>
        <v>-138729743.99431616</v>
      </c>
      <c r="L37" s="71">
        <f t="shared" si="9"/>
        <v>-132626571.19952837</v>
      </c>
      <c r="M37" s="71">
        <f t="shared" si="9"/>
        <v>-126810134.22142136</v>
      </c>
      <c r="N37" s="71">
        <f t="shared" si="9"/>
        <v>-121256734.22870323</v>
      </c>
      <c r="O37" s="71">
        <f t="shared" si="9"/>
        <v>-115944317.62888533</v>
      </c>
      <c r="P37" s="71">
        <f t="shared" si="9"/>
        <v>-110852356.38954726</v>
      </c>
      <c r="Q37" s="71">
        <f t="shared" si="9"/>
        <v>-105961736.95204036</v>
      </c>
      <c r="R37" s="71">
        <f t="shared" si="9"/>
        <v>-101254657.11848478</v>
      </c>
      <c r="S37" s="71">
        <f t="shared" si="9"/>
        <v>-96714530.33748503</v>
      </c>
      <c r="T37" s="71">
        <f t="shared" si="9"/>
        <v>-92325896.855347872</v>
      </c>
      <c r="U37" s="71">
        <f t="shared" si="9"/>
        <v>-88074341.237967804</v>
      </c>
      <c r="V37" s="71">
        <f t="shared" si="9"/>
        <v>-83946415.804163232</v>
      </c>
      <c r="W37" s="71">
        <f t="shared" si="9"/>
        <v>-79929569.544299185</v>
      </c>
      <c r="X37" s="71">
        <f t="shared" si="9"/>
        <v>-76012082.128706008</v>
      </c>
      <c r="Y37" s="71">
        <f t="shared" si="9"/>
        <v>-72183002.638867542</v>
      </c>
      <c r="Z37" s="71">
        <f t="shared" si="9"/>
        <v>-68432092.680765957</v>
      </c>
    </row>
    <row r="38" spans="1:26" ht="15" customHeight="1" x14ac:dyDescent="0.3">
      <c r="A38" s="42" t="s">
        <v>401</v>
      </c>
      <c r="B38" s="71">
        <f>'3_Giả định'!$D$13+B37</f>
        <v>2400000000</v>
      </c>
      <c r="C38" s="71">
        <f t="shared" ref="C38:Z38" si="10">B38+C37</f>
        <v>2198623612</v>
      </c>
      <c r="D38" s="71">
        <f t="shared" si="10"/>
        <v>2006742408.1760001</v>
      </c>
      <c r="E38" s="71">
        <f t="shared" si="10"/>
        <v>1823803056.9521282</v>
      </c>
      <c r="F38" s="71">
        <f t="shared" si="10"/>
        <v>1649294673.0596709</v>
      </c>
      <c r="G38" s="71">
        <f t="shared" si="10"/>
        <v>1482745813.5316324</v>
      </c>
      <c r="H38" s="71">
        <f t="shared" si="10"/>
        <v>1323721691.0282578</v>
      </c>
      <c r="I38" s="71">
        <f t="shared" si="10"/>
        <v>1171821588.8665445</v>
      </c>
      <c r="J38" s="71">
        <f t="shared" si="10"/>
        <v>1026676463.2523209</v>
      </c>
      <c r="K38" s="71">
        <f t="shared" si="10"/>
        <v>887946719.25800467</v>
      </c>
      <c r="L38" s="71">
        <f t="shared" si="10"/>
        <v>755320148.05847633</v>
      </c>
      <c r="M38" s="71">
        <f t="shared" si="10"/>
        <v>628510013.83705497</v>
      </c>
      <c r="N38" s="71">
        <f t="shared" si="10"/>
        <v>507253279.60835171</v>
      </c>
      <c r="O38" s="71">
        <f t="shared" si="10"/>
        <v>391308961.97946638</v>
      </c>
      <c r="P38" s="71">
        <f t="shared" si="10"/>
        <v>280456605.58991909</v>
      </c>
      <c r="Q38" s="71">
        <f t="shared" si="10"/>
        <v>174494868.63787872</v>
      </c>
      <c r="R38" s="71">
        <f t="shared" si="10"/>
        <v>73240211.519393936</v>
      </c>
      <c r="S38" s="71">
        <f t="shared" si="10"/>
        <v>-23474318.818091094</v>
      </c>
      <c r="T38" s="71">
        <f t="shared" si="10"/>
        <v>-115800215.67343897</v>
      </c>
      <c r="U38" s="71">
        <f t="shared" si="10"/>
        <v>-203874556.91140676</v>
      </c>
      <c r="V38" s="71">
        <f t="shared" si="10"/>
        <v>-287820972.71556997</v>
      </c>
      <c r="W38" s="71">
        <f t="shared" si="10"/>
        <v>-367750542.25986916</v>
      </c>
      <c r="X38" s="71">
        <f t="shared" si="10"/>
        <v>-443762624.3885752</v>
      </c>
      <c r="Y38" s="71">
        <f t="shared" si="10"/>
        <v>-515945627.02744275</v>
      </c>
      <c r="Z38" s="71">
        <f t="shared" si="10"/>
        <v>-584377719.70820868</v>
      </c>
    </row>
    <row r="39" spans="1:26" ht="15" customHeight="1" x14ac:dyDescent="0.3">
      <c r="A39" s="42" t="s">
        <v>402</v>
      </c>
      <c r="B39" s="71">
        <f>B37</f>
        <v>-600000000</v>
      </c>
      <c r="C39" s="71">
        <f t="shared" ref="C39:Z39" si="11">B39+C37</f>
        <v>-801376388</v>
      </c>
      <c r="D39" s="71">
        <f t="shared" si="11"/>
        <v>-993257591.824</v>
      </c>
      <c r="E39" s="71">
        <f t="shared" si="11"/>
        <v>-1176196943.0478721</v>
      </c>
      <c r="F39" s="71">
        <f t="shared" si="11"/>
        <v>-1350705326.9403293</v>
      </c>
      <c r="G39" s="71">
        <f t="shared" si="11"/>
        <v>-1517254186.4683676</v>
      </c>
      <c r="H39" s="71">
        <f t="shared" si="11"/>
        <v>-1676278308.9717422</v>
      </c>
      <c r="I39" s="71">
        <f t="shared" si="11"/>
        <v>-1828178411.1334555</v>
      </c>
      <c r="J39" s="71">
        <f t="shared" si="11"/>
        <v>-1973323536.7476792</v>
      </c>
      <c r="K39" s="71">
        <f t="shared" si="11"/>
        <v>-2112053280.7419953</v>
      </c>
      <c r="L39" s="71">
        <f t="shared" si="11"/>
        <v>-2244679851.9415236</v>
      </c>
      <c r="M39" s="71">
        <f t="shared" si="11"/>
        <v>-2371489986.1629448</v>
      </c>
      <c r="N39" s="71">
        <f t="shared" si="11"/>
        <v>-2492746720.3916478</v>
      </c>
      <c r="O39" s="71">
        <f t="shared" si="11"/>
        <v>-2608691038.0205331</v>
      </c>
      <c r="P39" s="71">
        <f t="shared" si="11"/>
        <v>-2719543394.4100804</v>
      </c>
      <c r="Q39" s="71">
        <f t="shared" si="11"/>
        <v>-2825505131.3621206</v>
      </c>
      <c r="R39" s="71">
        <f t="shared" si="11"/>
        <v>-2926759788.4806056</v>
      </c>
      <c r="S39" s="71">
        <f t="shared" si="11"/>
        <v>-3023474318.8180904</v>
      </c>
      <c r="T39" s="71">
        <f t="shared" si="11"/>
        <v>-3115800215.6734381</v>
      </c>
      <c r="U39" s="71">
        <f t="shared" si="11"/>
        <v>-3203874556.911406</v>
      </c>
      <c r="V39" s="71">
        <f t="shared" si="11"/>
        <v>-3287820972.7155695</v>
      </c>
      <c r="W39" s="71">
        <f t="shared" si="11"/>
        <v>-3367750542.2598686</v>
      </c>
      <c r="X39" s="71">
        <f t="shared" si="11"/>
        <v>-3443762624.3885746</v>
      </c>
      <c r="Y39" s="71">
        <f t="shared" si="11"/>
        <v>-3515945627.027442</v>
      </c>
      <c r="Z39" s="71">
        <f t="shared" si="11"/>
        <v>-3584377719.7082081</v>
      </c>
    </row>
    <row r="42" spans="1:26" ht="15" customHeight="1" x14ac:dyDescent="0.3">
      <c r="A42" s="72" t="s">
        <v>405</v>
      </c>
    </row>
    <row r="43" spans="1:26" ht="26.25" customHeight="1" x14ac:dyDescent="0.3">
      <c r="A43" s="13" t="s">
        <v>354</v>
      </c>
      <c r="B43" s="13" t="s">
        <v>308</v>
      </c>
      <c r="C43" s="13" t="s">
        <v>309</v>
      </c>
      <c r="D43" s="13" t="s">
        <v>310</v>
      </c>
      <c r="E43" s="13" t="s">
        <v>355</v>
      </c>
    </row>
    <row r="44" spans="1:26" ht="31.5" customHeight="1" x14ac:dyDescent="0.3">
      <c r="A44" s="10" t="s">
        <v>406</v>
      </c>
      <c r="B44" s="43">
        <f>B13+NPV('3_Giả định'!$B$14/12,C13:Z13)</f>
        <v>15025096807.346426</v>
      </c>
      <c r="C44" s="43">
        <f>B25+NPV('3_Giả định'!$C$14/12,C25:Z25)</f>
        <v>3513140540.1818113</v>
      </c>
      <c r="D44" s="43">
        <f>B37+NPV('3_Giả định'!$D$14/12,C37:Z37)</f>
        <v>-3233780896.309741</v>
      </c>
      <c r="E44" t="s">
        <v>407</v>
      </c>
    </row>
    <row r="45" spans="1:26" ht="15" customHeight="1" x14ac:dyDescent="0.3">
      <c r="A45" s="42" t="s">
        <v>408</v>
      </c>
      <c r="B45" s="45">
        <f>IFERROR((1+IRR(B13:Z13,0.01))^12-1,"Không tính được")</f>
        <v>9.1953272673464106</v>
      </c>
      <c r="C45" s="45">
        <f>IFERROR((1+IRR(B25:Z25,0.01))^12-1,"Không tính được")</f>
        <v>2.0407507869048138</v>
      </c>
      <c r="D45" s="45" t="str">
        <f>IFERROR((1+IRR(B37:Z37,0.01))^12-1,"Không tính được")</f>
        <v>Không tính được</v>
      </c>
      <c r="E45" t="s">
        <v>409</v>
      </c>
      <c r="F45" s="46" t="s">
        <v>410</v>
      </c>
    </row>
    <row r="46" spans="1:26" ht="15" customHeight="1" x14ac:dyDescent="0.3">
      <c r="A46" s="42" t="s">
        <v>411</v>
      </c>
      <c r="B46" s="43">
        <f>MIN(B14:Z14)</f>
        <v>2018361464.4290431</v>
      </c>
      <c r="C46" s="43">
        <f>MIN(B26:Z26)</f>
        <v>1727053471.0730309</v>
      </c>
      <c r="D46" s="43">
        <f>MIN(B38:Z38)</f>
        <v>-584377719.70820868</v>
      </c>
      <c r="E46" t="s">
        <v>407</v>
      </c>
    </row>
    <row r="47" spans="1:26" ht="15" customHeight="1" x14ac:dyDescent="0.3">
      <c r="A47" s="42" t="s">
        <v>412</v>
      </c>
      <c r="B47" s="73" t="str">
        <f>IF('3_Giả định'!B7=0,"Chưa điền",IFERROR(MATCH(TRUE(),INDEX(C14:Z14&lt;0,0),0),"Không hết tiền trong 24 tháng"))</f>
        <v>Không hết tiền trong 24 tháng</v>
      </c>
      <c r="C47" s="73" t="str">
        <f>IF('3_Giả định'!C7=0,"Chưa điền",IFERROR(MATCH(TRUE(),INDEX(C26:Z26&lt;0,0),0),"Không hết tiền trong 24 tháng"))</f>
        <v>Không hết tiền trong 24 tháng</v>
      </c>
      <c r="D47" s="73">
        <f>IF('3_Giả định'!D7=0,"Chưa điền",IFERROR(MATCH(TRUE(),INDEX(C38:Z38&lt;0,0),0),"Không hết tiền trong 24 tháng"))</f>
        <v>17</v>
      </c>
      <c r="E47" t="s">
        <v>413</v>
      </c>
      <c r="F47" s="46" t="s">
        <v>414</v>
      </c>
    </row>
    <row r="48" spans="1:26" ht="15" customHeight="1" x14ac:dyDescent="0.3">
      <c r="A48" s="42" t="s">
        <v>415</v>
      </c>
      <c r="B48" s="73">
        <f>IF('3_Giả định'!B7=0,"Chưa điền",IFERROR(MATCH(TRUE(),INDEX(C15:Z15&gt;=0,0),0),"Chưa hoàn vốn trong 24 tháng"))</f>
        <v>10</v>
      </c>
      <c r="C48" s="73">
        <f>IF('3_Giả định'!C7=0,"Chưa điền",IFERROR(MATCH(TRUE(),INDEX(C27:Z27&gt;=0,0),0),"Chưa hoàn vốn trong 24 tháng"))</f>
        <v>15</v>
      </c>
      <c r="D48" s="73" t="str">
        <f>IF('3_Giả định'!D7=0,"Chưa điền",IFERROR(MATCH(TRUE(),INDEX(C39:Z39&gt;=0,0),0),"Chưa hoàn vốn trong 24 tháng"))</f>
        <v>Chưa hoàn vốn trong 24 tháng</v>
      </c>
      <c r="E48" t="s">
        <v>416</v>
      </c>
    </row>
    <row r="49" spans="1:8" ht="15" customHeight="1" x14ac:dyDescent="0.3">
      <c r="A49" s="42" t="s">
        <v>417</v>
      </c>
      <c r="B49" s="53">
        <f>Z7</f>
        <v>707.4343887972725</v>
      </c>
      <c r="C49" s="53">
        <f>Z19</f>
        <v>304.62180209818217</v>
      </c>
      <c r="D49" s="53">
        <f>Z31</f>
        <v>78.371629057756763</v>
      </c>
    </row>
    <row r="50" spans="1:8" ht="15" customHeight="1" x14ac:dyDescent="0.3">
      <c r="A50" s="42" t="s">
        <v>418</v>
      </c>
      <c r="B50" s="43">
        <f>Z8</f>
        <v>4054306482.1971693</v>
      </c>
      <c r="C50" s="43">
        <f>Z20</f>
        <v>1587079588.931529</v>
      </c>
      <c r="D50" s="43">
        <f>Z32</f>
        <v>326652949.91273022</v>
      </c>
    </row>
    <row r="53" spans="1:8" ht="15" customHeight="1" x14ac:dyDescent="0.3">
      <c r="A53" s="72" t="s">
        <v>419</v>
      </c>
    </row>
    <row r="54" spans="1:8" ht="15" customHeight="1" x14ac:dyDescent="0.3">
      <c r="A54" s="74" t="s">
        <v>420</v>
      </c>
      <c r="B54" s="75">
        <v>0.2</v>
      </c>
      <c r="C54" s="46" t="s">
        <v>421</v>
      </c>
    </row>
    <row r="56" spans="1:8" ht="45" customHeight="1" x14ac:dyDescent="0.3">
      <c r="A56" s="76" t="s">
        <v>422</v>
      </c>
      <c r="B56" s="77" t="s">
        <v>423</v>
      </c>
      <c r="C56" s="77" t="s">
        <v>424</v>
      </c>
      <c r="D56" s="77" t="s">
        <v>425</v>
      </c>
      <c r="E56" s="77" t="s">
        <v>426</v>
      </c>
      <c r="F56" s="77" t="s">
        <v>412</v>
      </c>
      <c r="G56" s="77" t="s">
        <v>427</v>
      </c>
      <c r="H56" s="77" t="s">
        <v>428</v>
      </c>
    </row>
    <row r="57" spans="1:8" ht="27.75" customHeight="1" x14ac:dyDescent="0.3">
      <c r="A57" s="4" t="s">
        <v>429</v>
      </c>
      <c r="B57" s="78" t="s">
        <v>430</v>
      </c>
      <c r="C57" s="78" t="s">
        <v>430</v>
      </c>
      <c r="D57" s="79">
        <f>(B94+NPV($K$80/12,C94:Z94))/1000000</f>
        <v>3513.1405401818124</v>
      </c>
      <c r="E57" s="78" t="s">
        <v>430</v>
      </c>
      <c r="F57" s="80" t="str">
        <f>IFERROR(MATCH(TRUE(),INDEX(C95:Z95&lt;0,0),0),"Không hết tiền trong 24 tháng")</f>
        <v>Không hết tiền trong 24 tháng</v>
      </c>
      <c r="G57" s="80">
        <f>IFERROR(MATCH(TRUE(),INDEX(C96:Z96&gt;=0,0),0),"Chưa hoàn vốn trong 24 tháng")</f>
        <v>15</v>
      </c>
    </row>
    <row r="58" spans="1:8" ht="27.75" customHeight="1" x14ac:dyDescent="0.3">
      <c r="A58" s="74" t="s">
        <v>431</v>
      </c>
      <c r="B58" s="79">
        <f>'3_Giả định'!$C$17</f>
        <v>5210000</v>
      </c>
      <c r="C58" s="79">
        <f>B81</f>
        <v>4168000</v>
      </c>
      <c r="D58" s="79">
        <f>(B100+NPV($K$81/12,C100:Z100))/1000000</f>
        <v>606.90757567518779</v>
      </c>
      <c r="E58" s="79">
        <f t="shared" ref="E58:E64" si="12">D58-$D$57</f>
        <v>-2906.2329645066247</v>
      </c>
      <c r="F58" s="80" t="str">
        <f>IFERROR(MATCH(TRUE(),INDEX(C101:Z101&lt;0,0),0),"Không hết tiền trong 24 tháng")</f>
        <v>Không hết tiền trong 24 tháng</v>
      </c>
      <c r="G58" s="80">
        <f>IFERROR(MATCH(TRUE(),INDEX(C102:Z102&gt;=0,0),0),"Chưa hoàn vốn trong 24 tháng")</f>
        <v>21</v>
      </c>
      <c r="H58" s="81">
        <f t="shared" ref="H58:H64" si="13">RANK(D58,$D$58:$D$64,1)</f>
        <v>1</v>
      </c>
    </row>
    <row r="59" spans="1:8" ht="27.75" customHeight="1" x14ac:dyDescent="0.3">
      <c r="A59" s="74" t="s">
        <v>432</v>
      </c>
      <c r="B59" s="79">
        <f>'3_Giả định'!$C$18</f>
        <v>1619398.0000000002</v>
      </c>
      <c r="C59" s="79">
        <f>C82</f>
        <v>1943277.6</v>
      </c>
      <c r="D59" s="79">
        <f>(B106+NPV($K$82/12,C106:Z106))/1000000</f>
        <v>2609.8108184435973</v>
      </c>
      <c r="E59" s="79">
        <f t="shared" si="12"/>
        <v>-903.32972173821508</v>
      </c>
      <c r="F59" s="80" t="str">
        <f>IFERROR(MATCH(TRUE(),INDEX(C107:Z107&lt;0,0),0),"Không hết tiền trong 24 tháng")</f>
        <v>Không hết tiền trong 24 tháng</v>
      </c>
      <c r="G59" s="80">
        <f>IFERROR(MATCH(TRUE(),INDEX(C108:Z108&gt;=0,0),0),"Chưa hoàn vốn trong 24 tháng")</f>
        <v>17</v>
      </c>
      <c r="H59" s="81">
        <f t="shared" si="13"/>
        <v>3</v>
      </c>
    </row>
    <row r="60" spans="1:8" ht="27.75" customHeight="1" x14ac:dyDescent="0.3">
      <c r="A60" s="74" t="s">
        <v>433</v>
      </c>
      <c r="B60" s="82">
        <f>'3_Giả định'!$C$9</f>
        <v>4.4999999999999998E-2</v>
      </c>
      <c r="C60" s="82">
        <f>F83</f>
        <v>5.3999999999999999E-2</v>
      </c>
      <c r="D60" s="79">
        <f>(B112+NPV($K$83/12,C112:Z112))/1000000</f>
        <v>3021.6174212999917</v>
      </c>
      <c r="E60" s="79">
        <f t="shared" si="12"/>
        <v>-491.52311888182066</v>
      </c>
      <c r="F60" s="80" t="str">
        <f>IFERROR(MATCH(TRUE(),INDEX(C113:Z113&lt;0,0),0),"Không hết tiền trong 24 tháng")</f>
        <v>Không hết tiền trong 24 tháng</v>
      </c>
      <c r="G60" s="80">
        <f>IFERROR(MATCH(TRUE(),INDEX(C114:Z114&gt;=0,0),0),"Chưa hoàn vốn trong 24 tháng")</f>
        <v>16</v>
      </c>
      <c r="H60" s="81">
        <f t="shared" si="13"/>
        <v>7</v>
      </c>
    </row>
    <row r="61" spans="1:8" ht="27.75" customHeight="1" x14ac:dyDescent="0.3">
      <c r="A61" s="74" t="s">
        <v>434</v>
      </c>
      <c r="B61" s="79">
        <f>'3_Giả định'!$C$10</f>
        <v>7000000</v>
      </c>
      <c r="C61" s="79">
        <f>G84</f>
        <v>8400000</v>
      </c>
      <c r="D61" s="79">
        <f>(B118+NPV($K$84/12,C118:Z118))/1000000</f>
        <v>2992.8409098198235</v>
      </c>
      <c r="E61" s="79">
        <f t="shared" si="12"/>
        <v>-520.29963036198887</v>
      </c>
      <c r="F61" s="80" t="str">
        <f>IFERROR(MATCH(TRUE(),INDEX(C119:Z119&lt;0,0),0),"Không hết tiền trong 24 tháng")</f>
        <v>Không hết tiền trong 24 tháng</v>
      </c>
      <c r="G61" s="80">
        <f>IFERROR(MATCH(TRUE(),INDEX(C120:Z120&gt;=0,0),0),"Chưa hoàn vốn trong 24 tháng")</f>
        <v>16</v>
      </c>
      <c r="H61" s="81">
        <f t="shared" si="13"/>
        <v>6</v>
      </c>
    </row>
    <row r="62" spans="1:8" ht="27.75" customHeight="1" x14ac:dyDescent="0.3">
      <c r="A62" s="74" t="s">
        <v>435</v>
      </c>
      <c r="B62" s="83">
        <f>'3_Giả định'!$C$7</f>
        <v>10</v>
      </c>
      <c r="C62" s="83">
        <f>D85</f>
        <v>8</v>
      </c>
      <c r="D62" s="79">
        <f>(B124+NPV($K$85/12,C124:Z124))/1000000</f>
        <v>2030.5369277753907</v>
      </c>
      <c r="E62" s="79">
        <f t="shared" si="12"/>
        <v>-1482.6036124064217</v>
      </c>
      <c r="F62" s="80" t="str">
        <f>IFERROR(MATCH(TRUE(),INDEX(C125:Z125&lt;0,0),0),"Không hết tiền trong 24 tháng")</f>
        <v>Không hết tiền trong 24 tháng</v>
      </c>
      <c r="G62" s="80">
        <f>IFERROR(MATCH(TRUE(),INDEX(C126:Z126&gt;=0,0),0),"Chưa hoàn vốn trong 24 tháng")</f>
        <v>18</v>
      </c>
      <c r="H62" s="81">
        <f t="shared" si="13"/>
        <v>2</v>
      </c>
    </row>
    <row r="63" spans="1:8" ht="27.75" customHeight="1" x14ac:dyDescent="0.3">
      <c r="A63" s="74" t="s">
        <v>436</v>
      </c>
      <c r="B63" s="82">
        <f>'3_Giả định'!$C$8</f>
        <v>0.05</v>
      </c>
      <c r="C63" s="82">
        <f>E86</f>
        <v>4.0000000000000008E-2</v>
      </c>
      <c r="D63" s="79">
        <f>(B130+NPV($K$86/12,C130:Z130))/1000000</f>
        <v>2928.9207326115861</v>
      </c>
      <c r="E63" s="79">
        <f t="shared" si="12"/>
        <v>-584.21980757022629</v>
      </c>
      <c r="F63" s="80" t="str">
        <f>IFERROR(MATCH(TRUE(),INDEX(C131:Z131&lt;0,0),0),"Không hết tiền trong 24 tháng")</f>
        <v>Không hết tiền trong 24 tháng</v>
      </c>
      <c r="G63" s="80">
        <f>IFERROR(MATCH(TRUE(),INDEX(C132:Z132&gt;=0,0),0),"Chưa hoàn vốn trong 24 tháng")</f>
        <v>16</v>
      </c>
      <c r="H63" s="81">
        <f t="shared" si="13"/>
        <v>5</v>
      </c>
    </row>
    <row r="64" spans="1:8" ht="27.75" customHeight="1" x14ac:dyDescent="0.3">
      <c r="A64" s="74" t="s">
        <v>437</v>
      </c>
      <c r="B64" s="79">
        <f>'3_Giả định'!$C$11</f>
        <v>160000000</v>
      </c>
      <c r="C64" s="79">
        <f>H87</f>
        <v>192000000</v>
      </c>
      <c r="D64" s="79">
        <f>(B136+NPV($K$87/12,C136:Z136))/1000000</f>
        <v>2853.1650358117531</v>
      </c>
      <c r="E64" s="79">
        <f t="shared" si="12"/>
        <v>-659.9755043700593</v>
      </c>
      <c r="F64" s="80" t="str">
        <f>IFERROR(MATCH(TRUE(),INDEX(C137:Z137&lt;0,0),0),"Không hết tiền trong 24 tháng")</f>
        <v>Không hết tiền trong 24 tháng</v>
      </c>
      <c r="G64" s="80">
        <f>IFERROR(MATCH(TRUE(),INDEX(C138:Z138&gt;=0,0),0),"Chưa hoàn vốn trong 24 tháng")</f>
        <v>17</v>
      </c>
      <c r="H64" s="81">
        <f t="shared" si="13"/>
        <v>4</v>
      </c>
    </row>
    <row r="66" spans="1:11" ht="15" customHeight="1" x14ac:dyDescent="0.3">
      <c r="A66" s="4" t="s">
        <v>438</v>
      </c>
      <c r="B66" s="84" t="str">
        <f>IF(MAX(D58:D64)-MIN(D58:D64)&lt;0.5,"Chưa đủ số liệu",INDEX(A58:A64,MATCH(MIN(D58:D64),D58:D64,0)))</f>
        <v>Doanh thu bình quân giảm</v>
      </c>
    </row>
    <row r="68" spans="1:11" ht="31.5" customHeight="1" x14ac:dyDescent="0.3">
      <c r="A68" s="85" t="s">
        <v>439</v>
      </c>
      <c r="B68" s="78" t="s">
        <v>430</v>
      </c>
      <c r="C68" s="78" t="s">
        <v>430</v>
      </c>
      <c r="D68" s="79">
        <f>(B142+NPV($K$88/12,C142:Z142))/1000000</f>
        <v>-57.735631306475398</v>
      </c>
      <c r="E68" s="79">
        <f>D68-$D$57</f>
        <v>-3570.8761714882876</v>
      </c>
      <c r="F68" s="80" t="str">
        <f>IFERROR(MATCH(TRUE(),INDEX(C143:Z143&lt;0,0),0),"Không hết tiền trong 24 tháng")</f>
        <v>Không hết tiền trong 24 tháng</v>
      </c>
      <c r="G68" s="80">
        <f>IFERROR(MATCH(TRUE(),INDEX(C144:Z144&gt;=0,0),0),"Chưa hoàn vốn trong 24 tháng")</f>
        <v>23</v>
      </c>
    </row>
    <row r="69" spans="1:11" ht="15" customHeight="1" x14ac:dyDescent="0.3">
      <c r="A69" s="46" t="s">
        <v>440</v>
      </c>
    </row>
    <row r="70" spans="1:11" ht="15" customHeight="1" x14ac:dyDescent="0.3">
      <c r="A70" s="72" t="s">
        <v>441</v>
      </c>
    </row>
    <row r="71" spans="1:11" ht="45" customHeight="1" x14ac:dyDescent="0.3">
      <c r="A71" s="13" t="s">
        <v>354</v>
      </c>
      <c r="B71" s="13" t="s">
        <v>442</v>
      </c>
      <c r="C71" s="13" t="s">
        <v>443</v>
      </c>
      <c r="D71" s="50" t="s">
        <v>444</v>
      </c>
      <c r="E71" s="112" t="s">
        <v>445</v>
      </c>
      <c r="F71" s="102"/>
      <c r="G71" s="102"/>
      <c r="H71" s="102"/>
    </row>
    <row r="72" spans="1:11" ht="15" customHeight="1" x14ac:dyDescent="0.3">
      <c r="A72" s="20" t="s">
        <v>446</v>
      </c>
      <c r="B72" s="22">
        <f>'3_Giả định'!C17</f>
        <v>5210000</v>
      </c>
      <c r="C72" s="24">
        <f>IFERROR(B72*(1-$B$54*$D$57/($D$57-$D$58)),"")</f>
        <v>3950399.5180094228</v>
      </c>
      <c r="D72" s="26">
        <f>IFERROR(C72/B72-1,"")</f>
        <v>-0.24176592744540826</v>
      </c>
      <c r="E72" s="108" t="s">
        <v>447</v>
      </c>
      <c r="F72" s="109"/>
      <c r="G72" s="109"/>
      <c r="H72" s="110"/>
    </row>
    <row r="73" spans="1:11" ht="15" customHeight="1" x14ac:dyDescent="0.3">
      <c r="A73" s="20" t="s">
        <v>100</v>
      </c>
      <c r="B73" s="86">
        <f>'4_Chỉ số mỗi khách'!C7</f>
        <v>0.68917504798464491</v>
      </c>
      <c r="C73" s="59">
        <f>IFERROR(1-('3_Giả định'!C18*(1+$B$54*$D$57/($D$57-$D$59)))/'3_Giả định'!C17,"")</f>
        <v>0.44740912053923665</v>
      </c>
      <c r="D73" s="86">
        <f>IFERROR(C73-B73,"")</f>
        <v>-0.24176592744540826</v>
      </c>
      <c r="E73" s="108" t="s">
        <v>448</v>
      </c>
      <c r="F73" s="109"/>
      <c r="G73" s="109"/>
      <c r="H73" s="110"/>
    </row>
    <row r="74" spans="1:11" ht="15" customHeight="1" x14ac:dyDescent="0.3">
      <c r="A74" s="20" t="s">
        <v>449</v>
      </c>
      <c r="B74" s="22">
        <f>'3_Giả định'!C10</f>
        <v>7000000</v>
      </c>
      <c r="C74" s="24">
        <f>IFERROR(B74*(1+$B$54*$D$57/($D$57-$D$61)),"")</f>
        <v>16453008.361417925</v>
      </c>
      <c r="D74" s="26">
        <f>IFERROR(C74/B74-1,"")</f>
        <v>1.3504297659168465</v>
      </c>
      <c r="E74" s="111" t="str">
        <f>IFERROR("Trên mức này là 'nguy'. Tương ứng LTV ÷ CAC = "&amp;ROUND('4_Chỉ số mỗi khách'!C9/C74,1)&amp;", không phải 3","")</f>
        <v>Trên mức này là 'nguy'. Tương ứng LTV ÷ CAC = 4.8, không phải 3</v>
      </c>
      <c r="F74" s="109"/>
      <c r="G74" s="109"/>
      <c r="H74" s="110"/>
    </row>
    <row r="75" spans="1:11" ht="15" customHeight="1" x14ac:dyDescent="0.3">
      <c r="A75" s="20" t="s">
        <v>450</v>
      </c>
      <c r="B75" s="87">
        <f>'3_Giả định'!C7</f>
        <v>10</v>
      </c>
      <c r="C75" s="88">
        <f>IFERROR(B75*(1-$B$54*$D$57/($D$57-$D$62)),"")</f>
        <v>5.2608498849134522</v>
      </c>
      <c r="D75" s="26">
        <f>IFERROR(C75/B75-1,"")</f>
        <v>-0.47391501150865478</v>
      </c>
      <c r="E75" s="108" t="s">
        <v>451</v>
      </c>
      <c r="F75" s="109"/>
      <c r="G75" s="109"/>
      <c r="H75" s="110"/>
    </row>
    <row r="76" spans="1:11" ht="15" customHeight="1" x14ac:dyDescent="0.3">
      <c r="A76" s="20" t="s">
        <v>452</v>
      </c>
      <c r="B76" s="22">
        <f>'3_Giả định'!C11</f>
        <v>160000000</v>
      </c>
      <c r="C76" s="24">
        <f>IFERROR(B76*(1+$B$54*$D$57/($D$57-$D$64)),"")</f>
        <v>330340408.91127062</v>
      </c>
      <c r="D76" s="26">
        <f>IFERROR(C76/B76-1,"")</f>
        <v>1.0646275556954414</v>
      </c>
      <c r="E76" s="108" t="s">
        <v>453</v>
      </c>
      <c r="F76" s="109"/>
      <c r="G76" s="109"/>
      <c r="H76" s="110"/>
    </row>
    <row r="77" spans="1:11" ht="15" customHeight="1" x14ac:dyDescent="0.3">
      <c r="A77" s="20" t="s">
        <v>454</v>
      </c>
      <c r="B77" s="86">
        <f>'2_Định giá'!B27</f>
        <v>0.2</v>
      </c>
      <c r="C77" s="59">
        <f>IFERROR(1-C72/('2_Định giá'!D17*'3_Giả định'!C5),"")</f>
        <v>0.39341274195632658</v>
      </c>
      <c r="D77" s="86">
        <f>IFERROR(C77-B77,"")</f>
        <v>0.19341274195632657</v>
      </c>
      <c r="E77" s="108" t="s">
        <v>455</v>
      </c>
      <c r="F77" s="109"/>
      <c r="G77" s="109"/>
      <c r="H77" s="110"/>
    </row>
    <row r="78" spans="1:11" ht="15" customHeight="1" x14ac:dyDescent="0.3">
      <c r="A78" s="89" t="s">
        <v>456</v>
      </c>
    </row>
    <row r="79" spans="1:11" ht="15" hidden="1" customHeight="1" outlineLevel="1" x14ac:dyDescent="0.3">
      <c r="A79" s="89" t="s">
        <v>457</v>
      </c>
      <c r="B79" s="89" t="s">
        <v>458</v>
      </c>
      <c r="C79" s="89" t="s">
        <v>459</v>
      </c>
      <c r="D79" s="89" t="s">
        <v>460</v>
      </c>
      <c r="E79" s="89" t="s">
        <v>461</v>
      </c>
      <c r="F79" s="89" t="s">
        <v>462</v>
      </c>
      <c r="G79" s="89" t="s">
        <v>463</v>
      </c>
      <c r="H79" s="89" t="s">
        <v>399</v>
      </c>
      <c r="I79" s="89" t="s">
        <v>464</v>
      </c>
      <c r="J79" s="89" t="s">
        <v>465</v>
      </c>
      <c r="K79" s="89" t="s">
        <v>466</v>
      </c>
    </row>
    <row r="80" spans="1:11" ht="15" hidden="1" customHeight="1" outlineLevel="1" x14ac:dyDescent="0.3">
      <c r="A80" s="89" t="s">
        <v>467</v>
      </c>
      <c r="B80" s="90">
        <f>'3_Giả định'!$C$17</f>
        <v>5210000</v>
      </c>
      <c r="C80" s="90">
        <f>'3_Giả định'!$C$18</f>
        <v>1619398.0000000002</v>
      </c>
      <c r="D80" s="91">
        <f>'3_Giả định'!$C$7</f>
        <v>10</v>
      </c>
      <c r="E80" s="92">
        <f>'3_Giả định'!$C$8</f>
        <v>0.05</v>
      </c>
      <c r="F80" s="92">
        <f>'3_Giả định'!$C$9</f>
        <v>4.4999999999999998E-2</v>
      </c>
      <c r="G80" s="90">
        <f>'3_Giả định'!$C$10</f>
        <v>7000000</v>
      </c>
      <c r="H80" s="90">
        <f>'3_Giả định'!$C$11</f>
        <v>160000000</v>
      </c>
      <c r="I80" s="90">
        <f>'3_Giả định'!$C$12</f>
        <v>600000000</v>
      </c>
      <c r="J80" s="90">
        <f>'3_Giả định'!$C$13</f>
        <v>3000000000</v>
      </c>
      <c r="K80" s="92">
        <f>'3_Giả định'!$C$14</f>
        <v>0.15</v>
      </c>
    </row>
    <row r="81" spans="1:26" ht="15" hidden="1" customHeight="1" outlineLevel="1" x14ac:dyDescent="0.3">
      <c r="A81" s="89" t="s">
        <v>468</v>
      </c>
      <c r="B81" s="90">
        <f>'3_Giả định'!$C$17*(1-$B$54)</f>
        <v>4168000</v>
      </c>
      <c r="C81" s="90">
        <f>'3_Giả định'!$C$18</f>
        <v>1619398.0000000002</v>
      </c>
      <c r="D81" s="91">
        <f>'3_Giả định'!$C$7</f>
        <v>10</v>
      </c>
      <c r="E81" s="92">
        <f>'3_Giả định'!$C$8</f>
        <v>0.05</v>
      </c>
      <c r="F81" s="92">
        <f>'3_Giả định'!$C$9</f>
        <v>4.4999999999999998E-2</v>
      </c>
      <c r="G81" s="90">
        <f>'3_Giả định'!$C$10</f>
        <v>7000000</v>
      </c>
      <c r="H81" s="90">
        <f>'3_Giả định'!$C$11</f>
        <v>160000000</v>
      </c>
      <c r="I81" s="90">
        <f>'3_Giả định'!$C$12</f>
        <v>600000000</v>
      </c>
      <c r="J81" s="90">
        <f>'3_Giả định'!$C$13</f>
        <v>3000000000</v>
      </c>
      <c r="K81" s="92">
        <f>'3_Giả định'!$C$14</f>
        <v>0.15</v>
      </c>
    </row>
    <row r="82" spans="1:26" ht="15" hidden="1" customHeight="1" outlineLevel="1" x14ac:dyDescent="0.3">
      <c r="A82" s="89" t="s">
        <v>469</v>
      </c>
      <c r="B82" s="90">
        <f>'3_Giả định'!$C$17</f>
        <v>5210000</v>
      </c>
      <c r="C82" s="90">
        <f>'3_Giả định'!$C$18*(1+$B$54)</f>
        <v>1943277.6</v>
      </c>
      <c r="D82" s="91">
        <f>'3_Giả định'!$C$7</f>
        <v>10</v>
      </c>
      <c r="E82" s="92">
        <f>'3_Giả định'!$C$8</f>
        <v>0.05</v>
      </c>
      <c r="F82" s="92">
        <f>'3_Giả định'!$C$9</f>
        <v>4.4999999999999998E-2</v>
      </c>
      <c r="G82" s="90">
        <f>'3_Giả định'!$C$10</f>
        <v>7000000</v>
      </c>
      <c r="H82" s="90">
        <f>'3_Giả định'!$C$11</f>
        <v>160000000</v>
      </c>
      <c r="I82" s="90">
        <f>'3_Giả định'!$C$12</f>
        <v>600000000</v>
      </c>
      <c r="J82" s="90">
        <f>'3_Giả định'!$C$13</f>
        <v>3000000000</v>
      </c>
      <c r="K82" s="92">
        <f>'3_Giả định'!$C$14</f>
        <v>0.15</v>
      </c>
    </row>
    <row r="83" spans="1:26" ht="15" hidden="1" customHeight="1" outlineLevel="1" x14ac:dyDescent="0.3">
      <c r="A83" s="89" t="s">
        <v>470</v>
      </c>
      <c r="B83" s="90">
        <f>'3_Giả định'!$C$17</f>
        <v>5210000</v>
      </c>
      <c r="C83" s="90">
        <f>'3_Giả định'!$C$18</f>
        <v>1619398.0000000002</v>
      </c>
      <c r="D83" s="91">
        <f>'3_Giả định'!$C$7</f>
        <v>10</v>
      </c>
      <c r="E83" s="92">
        <f>'3_Giả định'!$C$8</f>
        <v>0.05</v>
      </c>
      <c r="F83" s="92">
        <f>'3_Giả định'!$C$9*(1+$B$54)</f>
        <v>5.3999999999999999E-2</v>
      </c>
      <c r="G83" s="90">
        <f>'3_Giả định'!$C$10</f>
        <v>7000000</v>
      </c>
      <c r="H83" s="90">
        <f>'3_Giả định'!$C$11</f>
        <v>160000000</v>
      </c>
      <c r="I83" s="90">
        <f>'3_Giả định'!$C$12</f>
        <v>600000000</v>
      </c>
      <c r="J83" s="90">
        <f>'3_Giả định'!$C$13</f>
        <v>3000000000</v>
      </c>
      <c r="K83" s="92">
        <f>'3_Giả định'!$C$14</f>
        <v>0.15</v>
      </c>
    </row>
    <row r="84" spans="1:26" ht="15" hidden="1" customHeight="1" outlineLevel="1" x14ac:dyDescent="0.3">
      <c r="A84" s="89" t="s">
        <v>471</v>
      </c>
      <c r="B84" s="90">
        <f>'3_Giả định'!$C$17</f>
        <v>5210000</v>
      </c>
      <c r="C84" s="90">
        <f>'3_Giả định'!$C$18</f>
        <v>1619398.0000000002</v>
      </c>
      <c r="D84" s="91">
        <f>'3_Giả định'!$C$7</f>
        <v>10</v>
      </c>
      <c r="E84" s="92">
        <f>'3_Giả định'!$C$8</f>
        <v>0.05</v>
      </c>
      <c r="F84" s="92">
        <f>'3_Giả định'!$C$9</f>
        <v>4.4999999999999998E-2</v>
      </c>
      <c r="G84" s="90">
        <f>'3_Giả định'!$C$10*(1+$B$54)</f>
        <v>8400000</v>
      </c>
      <c r="H84" s="90">
        <f>'3_Giả định'!$C$11</f>
        <v>160000000</v>
      </c>
      <c r="I84" s="90">
        <f>'3_Giả định'!$C$12</f>
        <v>600000000</v>
      </c>
      <c r="J84" s="90">
        <f>'3_Giả định'!$C$13</f>
        <v>3000000000</v>
      </c>
      <c r="K84" s="92">
        <f>'3_Giả định'!$C$14</f>
        <v>0.15</v>
      </c>
    </row>
    <row r="85" spans="1:26" ht="15" hidden="1" customHeight="1" outlineLevel="1" x14ac:dyDescent="0.3">
      <c r="A85" s="89" t="s">
        <v>472</v>
      </c>
      <c r="B85" s="90">
        <f>'3_Giả định'!$C$17</f>
        <v>5210000</v>
      </c>
      <c r="C85" s="90">
        <f>'3_Giả định'!$C$18</f>
        <v>1619398.0000000002</v>
      </c>
      <c r="D85" s="91">
        <f>'3_Giả định'!$C$7*(1-$B$54)</f>
        <v>8</v>
      </c>
      <c r="E85" s="92">
        <f>'3_Giả định'!$C$8</f>
        <v>0.05</v>
      </c>
      <c r="F85" s="92">
        <f>'3_Giả định'!$C$9</f>
        <v>4.4999999999999998E-2</v>
      </c>
      <c r="G85" s="90">
        <f>'3_Giả định'!$C$10</f>
        <v>7000000</v>
      </c>
      <c r="H85" s="90">
        <f>'3_Giả định'!$C$11</f>
        <v>160000000</v>
      </c>
      <c r="I85" s="90">
        <f>'3_Giả định'!$C$12</f>
        <v>600000000</v>
      </c>
      <c r="J85" s="90">
        <f>'3_Giả định'!$C$13</f>
        <v>3000000000</v>
      </c>
      <c r="K85" s="92">
        <f>'3_Giả định'!$C$14</f>
        <v>0.15</v>
      </c>
    </row>
    <row r="86" spans="1:26" ht="15" hidden="1" customHeight="1" outlineLevel="1" x14ac:dyDescent="0.3">
      <c r="A86" s="89" t="s">
        <v>473</v>
      </c>
      <c r="B86" s="90">
        <f>'3_Giả định'!$C$17</f>
        <v>5210000</v>
      </c>
      <c r="C86" s="90">
        <f>'3_Giả định'!$C$18</f>
        <v>1619398.0000000002</v>
      </c>
      <c r="D86" s="91">
        <f>'3_Giả định'!$C$7</f>
        <v>10</v>
      </c>
      <c r="E86" s="92">
        <f>'3_Giả định'!$C$8*(1-$B$54)</f>
        <v>4.0000000000000008E-2</v>
      </c>
      <c r="F86" s="92">
        <f>'3_Giả định'!$C$9</f>
        <v>4.4999999999999998E-2</v>
      </c>
      <c r="G86" s="90">
        <f>'3_Giả định'!$C$10</f>
        <v>7000000</v>
      </c>
      <c r="H86" s="90">
        <f>'3_Giả định'!$C$11</f>
        <v>160000000</v>
      </c>
      <c r="I86" s="90">
        <f>'3_Giả định'!$C$12</f>
        <v>600000000</v>
      </c>
      <c r="J86" s="90">
        <f>'3_Giả định'!$C$13</f>
        <v>3000000000</v>
      </c>
      <c r="K86" s="92">
        <f>'3_Giả định'!$C$14</f>
        <v>0.15</v>
      </c>
    </row>
    <row r="87" spans="1:26" ht="15" hidden="1" customHeight="1" outlineLevel="1" x14ac:dyDescent="0.3">
      <c r="A87" s="89" t="s">
        <v>474</v>
      </c>
      <c r="B87" s="90">
        <f>'3_Giả định'!$C$17</f>
        <v>5210000</v>
      </c>
      <c r="C87" s="90">
        <f>'3_Giả định'!$C$18</f>
        <v>1619398.0000000002</v>
      </c>
      <c r="D87" s="91">
        <f>'3_Giả định'!$C$7</f>
        <v>10</v>
      </c>
      <c r="E87" s="92">
        <f>'3_Giả định'!$C$8</f>
        <v>0.05</v>
      </c>
      <c r="F87" s="92">
        <f>'3_Giả định'!$C$9</f>
        <v>4.4999999999999998E-2</v>
      </c>
      <c r="G87" s="90">
        <f>'3_Giả định'!$C$10</f>
        <v>7000000</v>
      </c>
      <c r="H87" s="90">
        <f>'3_Giả định'!$C$11*(1+$B$54)</f>
        <v>192000000</v>
      </c>
      <c r="I87" s="90">
        <f>'3_Giả định'!$C$12</f>
        <v>600000000</v>
      </c>
      <c r="J87" s="90">
        <f>'3_Giả định'!$C$13</f>
        <v>3000000000</v>
      </c>
      <c r="K87" s="92">
        <f>'3_Giả định'!$C$14</f>
        <v>0.15</v>
      </c>
    </row>
    <row r="88" spans="1:26" ht="15" hidden="1" customHeight="1" outlineLevel="1" x14ac:dyDescent="0.3">
      <c r="A88" s="89" t="s">
        <v>475</v>
      </c>
      <c r="B88" s="90">
        <f>'2_Định giá'!$D$15*'3_Giả định'!$C$5*(1-'2_Định giá'!$B$27)</f>
        <v>3120000</v>
      </c>
      <c r="C88" s="90">
        <f>'2_Định giá'!$E$15*'3_Giả định'!$C$6</f>
        <v>809699.00000000012</v>
      </c>
      <c r="D88" s="91">
        <f>'3_Giả định'!$C$7</f>
        <v>10</v>
      </c>
      <c r="E88" s="92">
        <f>'3_Giả định'!$C$8</f>
        <v>0.05</v>
      </c>
      <c r="F88" s="92">
        <f>'3_Giả định'!$C$9</f>
        <v>4.4999999999999998E-2</v>
      </c>
      <c r="G88" s="90">
        <f>'3_Giả định'!$C$10</f>
        <v>7000000</v>
      </c>
      <c r="H88" s="90">
        <f>'3_Giả định'!$C$11</f>
        <v>160000000</v>
      </c>
      <c r="I88" s="90">
        <f>'3_Giả định'!$C$12</f>
        <v>600000000</v>
      </c>
      <c r="J88" s="90">
        <f>'3_Giả định'!$C$13</f>
        <v>3000000000</v>
      </c>
      <c r="K88" s="92">
        <f>'3_Giả định'!$C$14</f>
        <v>0.15</v>
      </c>
    </row>
    <row r="89" spans="1:26" ht="15" hidden="1" customHeight="1" outlineLevel="1" x14ac:dyDescent="0.3"/>
    <row r="90" spans="1:26" ht="15" hidden="1" customHeight="1" outlineLevel="1" x14ac:dyDescent="0.3"/>
    <row r="91" spans="1:26" ht="15" hidden="1" customHeight="1" outlineLevel="1" x14ac:dyDescent="0.3"/>
    <row r="92" spans="1:26" ht="15" hidden="1" customHeight="1" outlineLevel="1" x14ac:dyDescent="0.3">
      <c r="A92" s="89" t="s">
        <v>476</v>
      </c>
      <c r="C92" s="91">
        <f>$D$80*(1+$E$80)^0</f>
        <v>10</v>
      </c>
      <c r="D92" s="91">
        <f>$D$80*(1+$E$80)^1</f>
        <v>10.5</v>
      </c>
      <c r="E92" s="91">
        <f>$D$80*(1+$E$80)^2</f>
        <v>11.025</v>
      </c>
      <c r="F92" s="91">
        <f>$D$80*(1+$E$80)^3</f>
        <v>11.576250000000002</v>
      </c>
      <c r="G92" s="91">
        <f>$D$80*(1+$E$80)^4</f>
        <v>12.1550625</v>
      </c>
      <c r="H92" s="91">
        <f>$D$80*(1+$E$80)^5</f>
        <v>12.762815625000002</v>
      </c>
      <c r="I92" s="91">
        <f>$D$80*(1+$E$80)^6</f>
        <v>13.40095640625</v>
      </c>
      <c r="J92" s="91">
        <f>$D$80*(1+$E$80)^7</f>
        <v>14.071004226562502</v>
      </c>
      <c r="K92" s="91">
        <f>$D$80*(1+$E$80)^8</f>
        <v>14.774554437890625</v>
      </c>
      <c r="L92" s="91">
        <f>$D$80*(1+$E$80)^9</f>
        <v>15.513282159785158</v>
      </c>
      <c r="M92" s="91">
        <f>$D$80*(1+$E$80)^10</f>
        <v>16.288946267774417</v>
      </c>
      <c r="N92" s="91">
        <f>$D$80*(1+$E$80)^11</f>
        <v>17.103393581163139</v>
      </c>
      <c r="O92" s="91">
        <f>$D$80*(1+$E$80)^12</f>
        <v>17.958563260221293</v>
      </c>
      <c r="P92" s="91">
        <f>$D$80*(1+$E$80)^13</f>
        <v>18.856491423232359</v>
      </c>
      <c r="Q92" s="91">
        <f>$D$80*(1+$E$80)^14</f>
        <v>19.799315994393972</v>
      </c>
      <c r="R92" s="91">
        <f>$D$80*(1+$E$80)^15</f>
        <v>20.789281794113677</v>
      </c>
      <c r="S92" s="91">
        <f>$D$80*(1+$E$80)^16</f>
        <v>21.828745883819359</v>
      </c>
      <c r="T92" s="91">
        <f>$D$80*(1+$E$80)^17</f>
        <v>22.920183178010333</v>
      </c>
      <c r="U92" s="91">
        <f>$D$80*(1+$E$80)^18</f>
        <v>24.066192336910849</v>
      </c>
      <c r="V92" s="91">
        <f>$D$80*(1+$E$80)^19</f>
        <v>25.269501953756389</v>
      </c>
      <c r="W92" s="91">
        <f>$D$80*(1+$E$80)^20</f>
        <v>26.53297705144421</v>
      </c>
      <c r="X92" s="91">
        <f>$D$80*(1+$E$80)^21</f>
        <v>27.859625904016418</v>
      </c>
      <c r="Y92" s="91">
        <f>$D$80*(1+$E$80)^22</f>
        <v>29.252607199217238</v>
      </c>
      <c r="Z92" s="91">
        <f>$D$80*(1+$E$80)^23</f>
        <v>30.715237559178107</v>
      </c>
    </row>
    <row r="93" spans="1:26" ht="15" hidden="1" customHeight="1" outlineLevel="1" x14ac:dyDescent="0.3">
      <c r="A93" s="89" t="s">
        <v>477</v>
      </c>
      <c r="B93" s="89">
        <v>0</v>
      </c>
      <c r="C93" s="91">
        <f t="shared" ref="C93:Z93" si="14">B93*(1-$F$80)+C92</f>
        <v>10</v>
      </c>
      <c r="D93" s="91">
        <f t="shared" si="14"/>
        <v>20.049999999999997</v>
      </c>
      <c r="E93" s="91">
        <f t="shared" si="14"/>
        <v>30.172749999999994</v>
      </c>
      <c r="F93" s="91">
        <f t="shared" si="14"/>
        <v>40.391226249999995</v>
      </c>
      <c r="G93" s="91">
        <f t="shared" si="14"/>
        <v>50.728683568749993</v>
      </c>
      <c r="H93" s="91">
        <f t="shared" si="14"/>
        <v>61.208708433156247</v>
      </c>
      <c r="I93" s="91">
        <f t="shared" si="14"/>
        <v>71.855272959914217</v>
      </c>
      <c r="J93" s="91">
        <f t="shared" si="14"/>
        <v>82.692789903280584</v>
      </c>
      <c r="K93" s="91">
        <f t="shared" si="14"/>
        <v>93.746168795523587</v>
      </c>
      <c r="L93" s="91">
        <f t="shared" si="14"/>
        <v>105.04087335951019</v>
      </c>
      <c r="M93" s="91">
        <f t="shared" si="14"/>
        <v>116.60298032610665</v>
      </c>
      <c r="N93" s="91">
        <f t="shared" si="14"/>
        <v>128.45923979259499</v>
      </c>
      <c r="O93" s="91">
        <f t="shared" si="14"/>
        <v>140.63713726214951</v>
      </c>
      <c r="P93" s="91">
        <f t="shared" si="14"/>
        <v>153.16495750858513</v>
      </c>
      <c r="Q93" s="91">
        <f t="shared" si="14"/>
        <v>166.07185041509277</v>
      </c>
      <c r="R93" s="91">
        <f t="shared" si="14"/>
        <v>179.38789894052724</v>
      </c>
      <c r="S93" s="91">
        <f t="shared" si="14"/>
        <v>193.14418937202285</v>
      </c>
      <c r="T93" s="91">
        <f t="shared" si="14"/>
        <v>207.37288402829216</v>
      </c>
      <c r="U93" s="91">
        <f t="shared" si="14"/>
        <v>222.10729658392987</v>
      </c>
      <c r="V93" s="91">
        <f t="shared" si="14"/>
        <v>237.38197019140941</v>
      </c>
      <c r="W93" s="91">
        <f t="shared" si="14"/>
        <v>253.2327585842402</v>
      </c>
      <c r="X93" s="91">
        <f t="shared" si="14"/>
        <v>269.69691035196581</v>
      </c>
      <c r="Y93" s="91">
        <f t="shared" si="14"/>
        <v>286.81315658534459</v>
      </c>
      <c r="Z93" s="91">
        <f t="shared" si="14"/>
        <v>304.62180209818217</v>
      </c>
    </row>
    <row r="94" spans="1:26" ht="15" hidden="1" customHeight="1" outlineLevel="1" x14ac:dyDescent="0.3">
      <c r="A94" s="89" t="s">
        <v>478</v>
      </c>
      <c r="B94" s="90">
        <f>-$I$80</f>
        <v>-600000000</v>
      </c>
      <c r="C94" s="90">
        <f t="shared" ref="C94:Z94" si="15">C93*($B$80-$C$80)-C92*$G$80-$H$80</f>
        <v>-194093980</v>
      </c>
      <c r="D94" s="90">
        <f t="shared" si="15"/>
        <v>-161508429.90000001</v>
      </c>
      <c r="E94" s="90">
        <f t="shared" si="15"/>
        <v>-128836663.50450002</v>
      </c>
      <c r="F94" s="90">
        <f t="shared" si="15"/>
        <v>-96004932.244297519</v>
      </c>
      <c r="G94" s="90">
        <f t="shared" si="15"/>
        <v>-62938924.820679128</v>
      </c>
      <c r="H94" s="90">
        <f t="shared" si="15"/>
        <v>-29563598.457492337</v>
      </c>
      <c r="I94" s="90">
        <f t="shared" si="15"/>
        <v>4196991.9566639066</v>
      </c>
      <c r="J94" s="90">
        <f t="shared" si="15"/>
        <v>38419867.226361573</v>
      </c>
      <c r="K94" s="90">
        <f t="shared" si="15"/>
        <v>73183300.104310215</v>
      </c>
      <c r="L94" s="90">
        <f t="shared" si="15"/>
        <v>108566994.8479079</v>
      </c>
      <c r="M94" s="90">
        <f t="shared" si="15"/>
        <v>144652270.49045825</v>
      </c>
      <c r="N94" s="90">
        <f t="shared" si="15"/>
        <v>181522248.24962914</v>
      </c>
      <c r="O94" s="90">
        <f t="shared" si="15"/>
        <v>219262043.50619948</v>
      </c>
      <c r="P94" s="90">
        <f t="shared" si="15"/>
        <v>257958962.79761428</v>
      </c>
      <c r="Q94" s="90">
        <f t="shared" si="15"/>
        <v>297702706.28337508</v>
      </c>
      <c r="R94" s="90">
        <f t="shared" si="15"/>
        <v>338585576.15285927</v>
      </c>
      <c r="S94" s="90">
        <f t="shared" si="15"/>
        <v>380702691.46082842</v>
      </c>
      <c r="T94" s="90">
        <f t="shared" si="15"/>
        <v>424152209.89168155</v>
      </c>
      <c r="U94" s="90">
        <f t="shared" si="15"/>
        <v>469035556.97047579</v>
      </c>
      <c r="V94" s="90">
        <f t="shared" si="15"/>
        <v>515457663.25692034</v>
      </c>
      <c r="W94" s="90">
        <f t="shared" si="15"/>
        <v>563527210.07798064</v>
      </c>
      <c r="X94" s="90">
        <f t="shared" si="15"/>
        <v>613356884.37547421</v>
      </c>
      <c r="Y94" s="90">
        <f t="shared" si="15"/>
        <v>665063643.26713085</v>
      </c>
      <c r="Z94" s="90">
        <f t="shared" si="15"/>
        <v>718768988.9430902</v>
      </c>
    </row>
    <row r="95" spans="1:26" ht="15" hidden="1" customHeight="1" outlineLevel="1" x14ac:dyDescent="0.3">
      <c r="A95" s="89" t="s">
        <v>479</v>
      </c>
      <c r="B95" s="90">
        <f>$J$80+B94</f>
        <v>2400000000</v>
      </c>
      <c r="C95" s="90">
        <f t="shared" ref="C95:Z95" si="16">B95+C94</f>
        <v>2205906020</v>
      </c>
      <c r="D95" s="90">
        <f t="shared" si="16"/>
        <v>2044397590.0999999</v>
      </c>
      <c r="E95" s="90">
        <f t="shared" si="16"/>
        <v>1915560926.5955</v>
      </c>
      <c r="F95" s="90">
        <f t="shared" si="16"/>
        <v>1819555994.3512025</v>
      </c>
      <c r="G95" s="90">
        <f t="shared" si="16"/>
        <v>1756617069.5305233</v>
      </c>
      <c r="H95" s="90">
        <f t="shared" si="16"/>
        <v>1727053471.0730309</v>
      </c>
      <c r="I95" s="90">
        <f t="shared" si="16"/>
        <v>1731250463.0296948</v>
      </c>
      <c r="J95" s="90">
        <f t="shared" si="16"/>
        <v>1769670330.2560563</v>
      </c>
      <c r="K95" s="90">
        <f t="shared" si="16"/>
        <v>1842853630.3603666</v>
      </c>
      <c r="L95" s="90">
        <f t="shared" si="16"/>
        <v>1951420625.2082744</v>
      </c>
      <c r="M95" s="90">
        <f t="shared" si="16"/>
        <v>2096072895.6987326</v>
      </c>
      <c r="N95" s="90">
        <f t="shared" si="16"/>
        <v>2277595143.9483619</v>
      </c>
      <c r="O95" s="90">
        <f t="shared" si="16"/>
        <v>2496857187.4545612</v>
      </c>
      <c r="P95" s="90">
        <f t="shared" si="16"/>
        <v>2754816150.2521753</v>
      </c>
      <c r="Q95" s="90">
        <f t="shared" si="16"/>
        <v>3052518856.5355506</v>
      </c>
      <c r="R95" s="90">
        <f t="shared" si="16"/>
        <v>3391104432.6884098</v>
      </c>
      <c r="S95" s="90">
        <f t="shared" si="16"/>
        <v>3771807124.1492381</v>
      </c>
      <c r="T95" s="90">
        <f t="shared" si="16"/>
        <v>4195959334.0409198</v>
      </c>
      <c r="U95" s="90">
        <f t="shared" si="16"/>
        <v>4664994891.0113955</v>
      </c>
      <c r="V95" s="90">
        <f t="shared" si="16"/>
        <v>5180452554.2683163</v>
      </c>
      <c r="W95" s="90">
        <f t="shared" si="16"/>
        <v>5743979764.3462973</v>
      </c>
      <c r="X95" s="90">
        <f t="shared" si="16"/>
        <v>6357336648.7217712</v>
      </c>
      <c r="Y95" s="90">
        <f t="shared" si="16"/>
        <v>7022400291.9889021</v>
      </c>
      <c r="Z95" s="90">
        <f t="shared" si="16"/>
        <v>7741169280.9319925</v>
      </c>
    </row>
    <row r="96" spans="1:26" ht="15" hidden="1" customHeight="1" outlineLevel="1" x14ac:dyDescent="0.3">
      <c r="A96" s="89" t="s">
        <v>480</v>
      </c>
      <c r="B96" s="90">
        <f>B94</f>
        <v>-600000000</v>
      </c>
      <c r="C96" s="90">
        <f t="shared" ref="C96:Z96" si="17">B96+C94</f>
        <v>-794093980</v>
      </c>
      <c r="D96" s="90">
        <f t="shared" si="17"/>
        <v>-955602409.89999998</v>
      </c>
      <c r="E96" s="90">
        <f t="shared" si="17"/>
        <v>-1084439073.4045</v>
      </c>
      <c r="F96" s="90">
        <f t="shared" si="17"/>
        <v>-1180444005.6487975</v>
      </c>
      <c r="G96" s="90">
        <f t="shared" si="17"/>
        <v>-1243382930.4694767</v>
      </c>
      <c r="H96" s="90">
        <f t="shared" si="17"/>
        <v>-1272946528.9269691</v>
      </c>
      <c r="I96" s="90">
        <f t="shared" si="17"/>
        <v>-1268749536.9703052</v>
      </c>
      <c r="J96" s="90">
        <f t="shared" si="17"/>
        <v>-1230329669.7439437</v>
      </c>
      <c r="K96" s="90">
        <f t="shared" si="17"/>
        <v>-1157146369.6396334</v>
      </c>
      <c r="L96" s="90">
        <f t="shared" si="17"/>
        <v>-1048579374.7917255</v>
      </c>
      <c r="M96" s="90">
        <f t="shared" si="17"/>
        <v>-903927104.30126727</v>
      </c>
      <c r="N96" s="90">
        <f t="shared" si="17"/>
        <v>-722404856.05163813</v>
      </c>
      <c r="O96" s="90">
        <f t="shared" si="17"/>
        <v>-503142812.54543865</v>
      </c>
      <c r="P96" s="90">
        <f t="shared" si="17"/>
        <v>-245183849.74782437</v>
      </c>
      <c r="Q96" s="90">
        <f t="shared" si="17"/>
        <v>52518856.535550714</v>
      </c>
      <c r="R96" s="90">
        <f t="shared" si="17"/>
        <v>391104432.68840998</v>
      </c>
      <c r="S96" s="90">
        <f t="shared" si="17"/>
        <v>771807124.14923835</v>
      </c>
      <c r="T96" s="90">
        <f t="shared" si="17"/>
        <v>1195959334.0409198</v>
      </c>
      <c r="U96" s="90">
        <f t="shared" si="17"/>
        <v>1664994891.0113955</v>
      </c>
      <c r="V96" s="90">
        <f t="shared" si="17"/>
        <v>2180452554.2683158</v>
      </c>
      <c r="W96" s="90">
        <f t="shared" si="17"/>
        <v>2743979764.3462963</v>
      </c>
      <c r="X96" s="90">
        <f t="shared" si="17"/>
        <v>3357336648.7217703</v>
      </c>
      <c r="Y96" s="90">
        <f t="shared" si="17"/>
        <v>4022400291.9889011</v>
      </c>
      <c r="Z96" s="90">
        <f t="shared" si="17"/>
        <v>4741169280.9319916</v>
      </c>
    </row>
    <row r="97" spans="1:26" ht="15" hidden="1" customHeight="1" outlineLevel="1" x14ac:dyDescent="0.3"/>
    <row r="98" spans="1:26" ht="15" hidden="1" customHeight="1" outlineLevel="1" x14ac:dyDescent="0.3">
      <c r="A98" s="89" t="s">
        <v>481</v>
      </c>
      <c r="C98" s="91">
        <f>$D$81*(1+$E$81)^0</f>
        <v>10</v>
      </c>
      <c r="D98" s="91">
        <f>$D$81*(1+$E$81)^1</f>
        <v>10.5</v>
      </c>
      <c r="E98" s="91">
        <f>$D$81*(1+$E$81)^2</f>
        <v>11.025</v>
      </c>
      <c r="F98" s="91">
        <f>$D$81*(1+$E$81)^3</f>
        <v>11.576250000000002</v>
      </c>
      <c r="G98" s="91">
        <f>$D$81*(1+$E$81)^4</f>
        <v>12.1550625</v>
      </c>
      <c r="H98" s="91">
        <f>$D$81*(1+$E$81)^5</f>
        <v>12.762815625000002</v>
      </c>
      <c r="I98" s="91">
        <f>$D$81*(1+$E$81)^6</f>
        <v>13.40095640625</v>
      </c>
      <c r="J98" s="91">
        <f>$D$81*(1+$E$81)^7</f>
        <v>14.071004226562502</v>
      </c>
      <c r="K98" s="91">
        <f>$D$81*(1+$E$81)^8</f>
        <v>14.774554437890625</v>
      </c>
      <c r="L98" s="91">
        <f>$D$81*(1+$E$81)^9</f>
        <v>15.513282159785158</v>
      </c>
      <c r="M98" s="91">
        <f>$D$81*(1+$E$81)^10</f>
        <v>16.288946267774417</v>
      </c>
      <c r="N98" s="91">
        <f>$D$81*(1+$E$81)^11</f>
        <v>17.103393581163139</v>
      </c>
      <c r="O98" s="91">
        <f>$D$81*(1+$E$81)^12</f>
        <v>17.958563260221293</v>
      </c>
      <c r="P98" s="91">
        <f>$D$81*(1+$E$81)^13</f>
        <v>18.856491423232359</v>
      </c>
      <c r="Q98" s="91">
        <f>$D$81*(1+$E$81)^14</f>
        <v>19.799315994393972</v>
      </c>
      <c r="R98" s="91">
        <f>$D$81*(1+$E$81)^15</f>
        <v>20.789281794113677</v>
      </c>
      <c r="S98" s="91">
        <f>$D$81*(1+$E$81)^16</f>
        <v>21.828745883819359</v>
      </c>
      <c r="T98" s="91">
        <f>$D$81*(1+$E$81)^17</f>
        <v>22.920183178010333</v>
      </c>
      <c r="U98" s="91">
        <f>$D$81*(1+$E$81)^18</f>
        <v>24.066192336910849</v>
      </c>
      <c r="V98" s="91">
        <f>$D$81*(1+$E$81)^19</f>
        <v>25.269501953756389</v>
      </c>
      <c r="W98" s="91">
        <f>$D$81*(1+$E$81)^20</f>
        <v>26.53297705144421</v>
      </c>
      <c r="X98" s="91">
        <f>$D$81*(1+$E$81)^21</f>
        <v>27.859625904016418</v>
      </c>
      <c r="Y98" s="91">
        <f>$D$81*(1+$E$81)^22</f>
        <v>29.252607199217238</v>
      </c>
      <c r="Z98" s="91">
        <f>$D$81*(1+$E$81)^23</f>
        <v>30.715237559178107</v>
      </c>
    </row>
    <row r="99" spans="1:26" ht="15" hidden="1" customHeight="1" outlineLevel="1" x14ac:dyDescent="0.3">
      <c r="A99" s="89" t="s">
        <v>482</v>
      </c>
      <c r="B99" s="89">
        <v>0</v>
      </c>
      <c r="C99" s="91">
        <f t="shared" ref="C99:Z99" si="18">B99*(1-$F$81)+C98</f>
        <v>10</v>
      </c>
      <c r="D99" s="91">
        <f t="shared" si="18"/>
        <v>20.049999999999997</v>
      </c>
      <c r="E99" s="91">
        <f t="shared" si="18"/>
        <v>30.172749999999994</v>
      </c>
      <c r="F99" s="91">
        <f t="shared" si="18"/>
        <v>40.391226249999995</v>
      </c>
      <c r="G99" s="91">
        <f t="shared" si="18"/>
        <v>50.728683568749993</v>
      </c>
      <c r="H99" s="91">
        <f t="shared" si="18"/>
        <v>61.208708433156247</v>
      </c>
      <c r="I99" s="91">
        <f t="shared" si="18"/>
        <v>71.855272959914217</v>
      </c>
      <c r="J99" s="91">
        <f t="shared" si="18"/>
        <v>82.692789903280584</v>
      </c>
      <c r="K99" s="91">
        <f t="shared" si="18"/>
        <v>93.746168795523587</v>
      </c>
      <c r="L99" s="91">
        <f t="shared" si="18"/>
        <v>105.04087335951019</v>
      </c>
      <c r="M99" s="91">
        <f t="shared" si="18"/>
        <v>116.60298032610665</v>
      </c>
      <c r="N99" s="91">
        <f t="shared" si="18"/>
        <v>128.45923979259499</v>
      </c>
      <c r="O99" s="91">
        <f t="shared" si="18"/>
        <v>140.63713726214951</v>
      </c>
      <c r="P99" s="91">
        <f t="shared" si="18"/>
        <v>153.16495750858513</v>
      </c>
      <c r="Q99" s="91">
        <f t="shared" si="18"/>
        <v>166.07185041509277</v>
      </c>
      <c r="R99" s="91">
        <f t="shared" si="18"/>
        <v>179.38789894052724</v>
      </c>
      <c r="S99" s="91">
        <f t="shared" si="18"/>
        <v>193.14418937202285</v>
      </c>
      <c r="T99" s="91">
        <f t="shared" si="18"/>
        <v>207.37288402829216</v>
      </c>
      <c r="U99" s="91">
        <f t="shared" si="18"/>
        <v>222.10729658392987</v>
      </c>
      <c r="V99" s="91">
        <f t="shared" si="18"/>
        <v>237.38197019140941</v>
      </c>
      <c r="W99" s="91">
        <f t="shared" si="18"/>
        <v>253.2327585842402</v>
      </c>
      <c r="X99" s="91">
        <f t="shared" si="18"/>
        <v>269.69691035196581</v>
      </c>
      <c r="Y99" s="91">
        <f t="shared" si="18"/>
        <v>286.81315658534459</v>
      </c>
      <c r="Z99" s="91">
        <f t="shared" si="18"/>
        <v>304.62180209818217</v>
      </c>
    </row>
    <row r="100" spans="1:26" ht="15" hidden="1" customHeight="1" outlineLevel="1" x14ac:dyDescent="0.3">
      <c r="A100" s="89" t="s">
        <v>483</v>
      </c>
      <c r="B100" s="90">
        <f>-$I$81</f>
        <v>-600000000</v>
      </c>
      <c r="C100" s="90">
        <f t="shared" ref="C100:Z100" si="19">C99*($B$81-$C$81)-C98*$G$81-$H$81</f>
        <v>-204513980</v>
      </c>
      <c r="D100" s="90">
        <f t="shared" si="19"/>
        <v>-182400529.90000001</v>
      </c>
      <c r="E100" s="90">
        <f t="shared" si="19"/>
        <v>-160276669.00450003</v>
      </c>
      <c r="F100" s="90">
        <f t="shared" si="19"/>
        <v>-138092589.99679753</v>
      </c>
      <c r="G100" s="90">
        <f t="shared" si="19"/>
        <v>-115798213.09931663</v>
      </c>
      <c r="H100" s="90">
        <f t="shared" si="19"/>
        <v>-93343072.644841149</v>
      </c>
      <c r="I100" s="90">
        <f t="shared" si="19"/>
        <v>-70676202.467566699</v>
      </c>
      <c r="J100" s="90">
        <f t="shared" si="19"/>
        <v>-47746019.8528568</v>
      </c>
      <c r="K100" s="90">
        <f t="shared" si="19"/>
        <v>-24500207.780625343</v>
      </c>
      <c r="L100" s="90">
        <f t="shared" si="19"/>
        <v>-885595.19270169735</v>
      </c>
      <c r="M100" s="90">
        <f t="shared" si="19"/>
        <v>23151964.990655124</v>
      </c>
      <c r="N100" s="90">
        <f t="shared" si="19"/>
        <v>47667720.385745168</v>
      </c>
      <c r="O100" s="90">
        <f t="shared" si="19"/>
        <v>72718146.479039729</v>
      </c>
      <c r="P100" s="90">
        <f t="shared" si="19"/>
        <v>98361077.07366854</v>
      </c>
      <c r="Q100" s="90">
        <f t="shared" si="19"/>
        <v>124655838.15084845</v>
      </c>
      <c r="R100" s="90">
        <f t="shared" si="19"/>
        <v>151663385.45682985</v>
      </c>
      <c r="S100" s="90">
        <f t="shared" si="19"/>
        <v>179446446.13518065</v>
      </c>
      <c r="T100" s="90">
        <f t="shared" si="19"/>
        <v>208069664.73420119</v>
      </c>
      <c r="U100" s="90">
        <f t="shared" si="19"/>
        <v>237599753.93002093</v>
      </c>
      <c r="V100" s="90">
        <f t="shared" si="19"/>
        <v>268105650.31747174</v>
      </c>
      <c r="W100" s="90">
        <f t="shared" si="19"/>
        <v>299658675.63320231</v>
      </c>
      <c r="X100" s="90">
        <f t="shared" si="19"/>
        <v>332332703.78872579</v>
      </c>
      <c r="Y100" s="90">
        <f t="shared" si="19"/>
        <v>366204334.10520172</v>
      </c>
      <c r="Z100" s="90">
        <f t="shared" si="19"/>
        <v>401353071.15678453</v>
      </c>
    </row>
    <row r="101" spans="1:26" ht="15" hidden="1" customHeight="1" outlineLevel="1" x14ac:dyDescent="0.3">
      <c r="A101" s="89" t="s">
        <v>484</v>
      </c>
      <c r="B101" s="90">
        <f>$J$81+B100</f>
        <v>2400000000</v>
      </c>
      <c r="C101" s="90">
        <f t="shared" ref="C101:Z101" si="20">B101+C100</f>
        <v>2195486020</v>
      </c>
      <c r="D101" s="90">
        <f t="shared" si="20"/>
        <v>2013085490.0999999</v>
      </c>
      <c r="E101" s="90">
        <f t="shared" si="20"/>
        <v>1852808821.0955</v>
      </c>
      <c r="F101" s="90">
        <f t="shared" si="20"/>
        <v>1714716231.0987024</v>
      </c>
      <c r="G101" s="90">
        <f t="shared" si="20"/>
        <v>1598918017.9993858</v>
      </c>
      <c r="H101" s="90">
        <f t="shared" si="20"/>
        <v>1505574945.3545446</v>
      </c>
      <c r="I101" s="90">
        <f t="shared" si="20"/>
        <v>1434898742.8869779</v>
      </c>
      <c r="J101" s="90">
        <f t="shared" si="20"/>
        <v>1387152723.034121</v>
      </c>
      <c r="K101" s="90">
        <f t="shared" si="20"/>
        <v>1362652515.2534957</v>
      </c>
      <c r="L101" s="90">
        <f t="shared" si="20"/>
        <v>1361766920.0607939</v>
      </c>
      <c r="M101" s="90">
        <f t="shared" si="20"/>
        <v>1384918885.0514491</v>
      </c>
      <c r="N101" s="90">
        <f t="shared" si="20"/>
        <v>1432586605.4371943</v>
      </c>
      <c r="O101" s="90">
        <f t="shared" si="20"/>
        <v>1505304751.916234</v>
      </c>
      <c r="P101" s="90">
        <f t="shared" si="20"/>
        <v>1603665828.9899025</v>
      </c>
      <c r="Q101" s="90">
        <f t="shared" si="20"/>
        <v>1728321667.1407509</v>
      </c>
      <c r="R101" s="90">
        <f t="shared" si="20"/>
        <v>1879985052.5975807</v>
      </c>
      <c r="S101" s="90">
        <f t="shared" si="20"/>
        <v>2059431498.7327614</v>
      </c>
      <c r="T101" s="90">
        <f t="shared" si="20"/>
        <v>2267501163.4669628</v>
      </c>
      <c r="U101" s="90">
        <f t="shared" si="20"/>
        <v>2505100917.3969836</v>
      </c>
      <c r="V101" s="90">
        <f t="shared" si="20"/>
        <v>2773206567.7144556</v>
      </c>
      <c r="W101" s="90">
        <f t="shared" si="20"/>
        <v>3072865243.3476582</v>
      </c>
      <c r="X101" s="90">
        <f t="shared" si="20"/>
        <v>3405197947.136384</v>
      </c>
      <c r="Y101" s="90">
        <f t="shared" si="20"/>
        <v>3771402281.2415857</v>
      </c>
      <c r="Z101" s="90">
        <f t="shared" si="20"/>
        <v>4172755352.3983703</v>
      </c>
    </row>
    <row r="102" spans="1:26" ht="15" hidden="1" customHeight="1" outlineLevel="1" x14ac:dyDescent="0.3">
      <c r="A102" s="89" t="s">
        <v>485</v>
      </c>
      <c r="B102" s="90">
        <f>B100</f>
        <v>-600000000</v>
      </c>
      <c r="C102" s="90">
        <f t="shared" ref="C102:Z102" si="21">B102+C100</f>
        <v>-804513980</v>
      </c>
      <c r="D102" s="90">
        <f t="shared" si="21"/>
        <v>-986914509.89999998</v>
      </c>
      <c r="E102" s="90">
        <f t="shared" si="21"/>
        <v>-1147191178.9045</v>
      </c>
      <c r="F102" s="90">
        <f t="shared" si="21"/>
        <v>-1285283768.9012976</v>
      </c>
      <c r="G102" s="90">
        <f t="shared" si="21"/>
        <v>-1401081982.0006142</v>
      </c>
      <c r="H102" s="90">
        <f t="shared" si="21"/>
        <v>-1494425054.6454554</v>
      </c>
      <c r="I102" s="90">
        <f t="shared" si="21"/>
        <v>-1565101257.1130221</v>
      </c>
      <c r="J102" s="90">
        <f t="shared" si="21"/>
        <v>-1612847276.965879</v>
      </c>
      <c r="K102" s="90">
        <f t="shared" si="21"/>
        <v>-1637347484.7465043</v>
      </c>
      <c r="L102" s="90">
        <f t="shared" si="21"/>
        <v>-1638233079.9392061</v>
      </c>
      <c r="M102" s="90">
        <f t="shared" si="21"/>
        <v>-1615081114.9485509</v>
      </c>
      <c r="N102" s="90">
        <f t="shared" si="21"/>
        <v>-1567413394.5628057</v>
      </c>
      <c r="O102" s="90">
        <f t="shared" si="21"/>
        <v>-1494695248.083766</v>
      </c>
      <c r="P102" s="90">
        <f t="shared" si="21"/>
        <v>-1396334171.0100975</v>
      </c>
      <c r="Q102" s="90">
        <f t="shared" si="21"/>
        <v>-1271678332.8592491</v>
      </c>
      <c r="R102" s="90">
        <f t="shared" si="21"/>
        <v>-1120014947.4024193</v>
      </c>
      <c r="S102" s="90">
        <f t="shared" si="21"/>
        <v>-940568501.26723862</v>
      </c>
      <c r="T102" s="90">
        <f t="shared" si="21"/>
        <v>-732498836.53303742</v>
      </c>
      <c r="U102" s="90">
        <f t="shared" si="21"/>
        <v>-494899082.6030165</v>
      </c>
      <c r="V102" s="90">
        <f t="shared" si="21"/>
        <v>-226793432.28554475</v>
      </c>
      <c r="W102" s="90">
        <f t="shared" si="21"/>
        <v>72865243.347657561</v>
      </c>
      <c r="X102" s="90">
        <f t="shared" si="21"/>
        <v>405197947.13638335</v>
      </c>
      <c r="Y102" s="90">
        <f t="shared" si="21"/>
        <v>771402281.24158502</v>
      </c>
      <c r="Z102" s="90">
        <f t="shared" si="21"/>
        <v>1172755352.3983696</v>
      </c>
    </row>
    <row r="103" spans="1:26" ht="15" hidden="1" customHeight="1" outlineLevel="1" x14ac:dyDescent="0.3"/>
    <row r="104" spans="1:26" ht="15" hidden="1" customHeight="1" outlineLevel="1" x14ac:dyDescent="0.3">
      <c r="A104" s="89" t="s">
        <v>486</v>
      </c>
      <c r="C104" s="91">
        <f>$D$82*(1+$E$82)^0</f>
        <v>10</v>
      </c>
      <c r="D104" s="91">
        <f>$D$82*(1+$E$82)^1</f>
        <v>10.5</v>
      </c>
      <c r="E104" s="91">
        <f>$D$82*(1+$E$82)^2</f>
        <v>11.025</v>
      </c>
      <c r="F104" s="91">
        <f>$D$82*(1+$E$82)^3</f>
        <v>11.576250000000002</v>
      </c>
      <c r="G104" s="91">
        <f>$D$82*(1+$E$82)^4</f>
        <v>12.1550625</v>
      </c>
      <c r="H104" s="91">
        <f>$D$82*(1+$E$82)^5</f>
        <v>12.762815625000002</v>
      </c>
      <c r="I104" s="91">
        <f>$D$82*(1+$E$82)^6</f>
        <v>13.40095640625</v>
      </c>
      <c r="J104" s="91">
        <f>$D$82*(1+$E$82)^7</f>
        <v>14.071004226562502</v>
      </c>
      <c r="K104" s="91">
        <f>$D$82*(1+$E$82)^8</f>
        <v>14.774554437890625</v>
      </c>
      <c r="L104" s="91">
        <f>$D$82*(1+$E$82)^9</f>
        <v>15.513282159785158</v>
      </c>
      <c r="M104" s="91">
        <f>$D$82*(1+$E$82)^10</f>
        <v>16.288946267774417</v>
      </c>
      <c r="N104" s="91">
        <f>$D$82*(1+$E$82)^11</f>
        <v>17.103393581163139</v>
      </c>
      <c r="O104" s="91">
        <f>$D$82*(1+$E$82)^12</f>
        <v>17.958563260221293</v>
      </c>
      <c r="P104" s="91">
        <f>$D$82*(1+$E$82)^13</f>
        <v>18.856491423232359</v>
      </c>
      <c r="Q104" s="91">
        <f>$D$82*(1+$E$82)^14</f>
        <v>19.799315994393972</v>
      </c>
      <c r="R104" s="91">
        <f>$D$82*(1+$E$82)^15</f>
        <v>20.789281794113677</v>
      </c>
      <c r="S104" s="91">
        <f>$D$82*(1+$E$82)^16</f>
        <v>21.828745883819359</v>
      </c>
      <c r="T104" s="91">
        <f>$D$82*(1+$E$82)^17</f>
        <v>22.920183178010333</v>
      </c>
      <c r="U104" s="91">
        <f>$D$82*(1+$E$82)^18</f>
        <v>24.066192336910849</v>
      </c>
      <c r="V104" s="91">
        <f>$D$82*(1+$E$82)^19</f>
        <v>25.269501953756389</v>
      </c>
      <c r="W104" s="91">
        <f>$D$82*(1+$E$82)^20</f>
        <v>26.53297705144421</v>
      </c>
      <c r="X104" s="91">
        <f>$D$82*(1+$E$82)^21</f>
        <v>27.859625904016418</v>
      </c>
      <c r="Y104" s="91">
        <f>$D$82*(1+$E$82)^22</f>
        <v>29.252607199217238</v>
      </c>
      <c r="Z104" s="91">
        <f>$D$82*(1+$E$82)^23</f>
        <v>30.715237559178107</v>
      </c>
    </row>
    <row r="105" spans="1:26" ht="15" hidden="1" customHeight="1" outlineLevel="1" x14ac:dyDescent="0.3">
      <c r="A105" s="89" t="s">
        <v>487</v>
      </c>
      <c r="B105" s="89">
        <v>0</v>
      </c>
      <c r="C105" s="91">
        <f t="shared" ref="C105:Z105" si="22">B105*(1-$F$82)+C104</f>
        <v>10</v>
      </c>
      <c r="D105" s="91">
        <f t="shared" si="22"/>
        <v>20.049999999999997</v>
      </c>
      <c r="E105" s="91">
        <f t="shared" si="22"/>
        <v>30.172749999999994</v>
      </c>
      <c r="F105" s="91">
        <f t="shared" si="22"/>
        <v>40.391226249999995</v>
      </c>
      <c r="G105" s="91">
        <f t="shared" si="22"/>
        <v>50.728683568749993</v>
      </c>
      <c r="H105" s="91">
        <f t="shared" si="22"/>
        <v>61.208708433156247</v>
      </c>
      <c r="I105" s="91">
        <f t="shared" si="22"/>
        <v>71.855272959914217</v>
      </c>
      <c r="J105" s="91">
        <f t="shared" si="22"/>
        <v>82.692789903280584</v>
      </c>
      <c r="K105" s="91">
        <f t="shared" si="22"/>
        <v>93.746168795523587</v>
      </c>
      <c r="L105" s="91">
        <f t="shared" si="22"/>
        <v>105.04087335951019</v>
      </c>
      <c r="M105" s="91">
        <f t="shared" si="22"/>
        <v>116.60298032610665</v>
      </c>
      <c r="N105" s="91">
        <f t="shared" si="22"/>
        <v>128.45923979259499</v>
      </c>
      <c r="O105" s="91">
        <f t="shared" si="22"/>
        <v>140.63713726214951</v>
      </c>
      <c r="P105" s="91">
        <f t="shared" si="22"/>
        <v>153.16495750858513</v>
      </c>
      <c r="Q105" s="91">
        <f t="shared" si="22"/>
        <v>166.07185041509277</v>
      </c>
      <c r="R105" s="91">
        <f t="shared" si="22"/>
        <v>179.38789894052724</v>
      </c>
      <c r="S105" s="91">
        <f t="shared" si="22"/>
        <v>193.14418937202285</v>
      </c>
      <c r="T105" s="91">
        <f t="shared" si="22"/>
        <v>207.37288402829216</v>
      </c>
      <c r="U105" s="91">
        <f t="shared" si="22"/>
        <v>222.10729658392987</v>
      </c>
      <c r="V105" s="91">
        <f t="shared" si="22"/>
        <v>237.38197019140941</v>
      </c>
      <c r="W105" s="91">
        <f t="shared" si="22"/>
        <v>253.2327585842402</v>
      </c>
      <c r="X105" s="91">
        <f t="shared" si="22"/>
        <v>269.69691035196581</v>
      </c>
      <c r="Y105" s="91">
        <f t="shared" si="22"/>
        <v>286.81315658534459</v>
      </c>
      <c r="Z105" s="91">
        <f t="shared" si="22"/>
        <v>304.62180209818217</v>
      </c>
    </row>
    <row r="106" spans="1:26" ht="15" hidden="1" customHeight="1" outlineLevel="1" x14ac:dyDescent="0.3">
      <c r="A106" s="89" t="s">
        <v>488</v>
      </c>
      <c r="B106" s="90">
        <f>-$I$82</f>
        <v>-600000000</v>
      </c>
      <c r="C106" s="90">
        <f t="shared" ref="C106:Z106" si="23">C105*($B$82-$C$82)-C104*$G$82-$H$82</f>
        <v>-197332776</v>
      </c>
      <c r="D106" s="90">
        <f t="shared" si="23"/>
        <v>-168002215.88</v>
      </c>
      <c r="E106" s="90">
        <f t="shared" si="23"/>
        <v>-138609001.70540002</v>
      </c>
      <c r="F106" s="90">
        <f t="shared" si="23"/>
        <v>-109086826.44565703</v>
      </c>
      <c r="G106" s="90">
        <f t="shared" si="23"/>
        <v>-79368910.563452452</v>
      </c>
      <c r="H106" s="90">
        <f t="shared" si="23"/>
        <v>-49387850.461339608</v>
      </c>
      <c r="I106" s="90">
        <f t="shared" si="23"/>
        <v>-19075465.107483923</v>
      </c>
      <c r="J106" s="90">
        <f t="shared" si="23"/>
        <v>11637359.509603024</v>
      </c>
      <c r="K106" s="90">
        <f t="shared" si="23"/>
        <v>42820828.453283548</v>
      </c>
      <c r="L106" s="90">
        <f t="shared" si="23"/>
        <v>74546398.800579071</v>
      </c>
      <c r="M106" s="90">
        <f t="shared" si="23"/>
        <v>106886943.86363095</v>
      </c>
      <c r="N106" s="90">
        <f t="shared" si="23"/>
        <v>139916921.04929936</v>
      </c>
      <c r="O106" s="90">
        <f t="shared" si="23"/>
        <v>173712543.74458939</v>
      </c>
      <c r="P106" s="90">
        <f t="shared" si="23"/>
        <v>208351957.62571669</v>
      </c>
      <c r="Q106" s="90">
        <f t="shared" si="23"/>
        <v>243915421.79967505</v>
      </c>
      <c r="R106" s="90">
        <f t="shared" si="23"/>
        <v>280485495.19916087</v>
      </c>
      <c r="S106" s="90">
        <f t="shared" si="23"/>
        <v>318147228.66469347</v>
      </c>
      <c r="T106" s="90">
        <f t="shared" si="23"/>
        <v>356988363.16175199</v>
      </c>
      <c r="U106" s="90">
        <f t="shared" si="23"/>
        <v>397099534.59579122</v>
      </c>
      <c r="V106" s="90">
        <f t="shared" si="23"/>
        <v>438574485.70411468</v>
      </c>
      <c r="W106" s="90">
        <f t="shared" si="23"/>
        <v>481510285.52082026</v>
      </c>
      <c r="X106" s="90">
        <f t="shared" si="23"/>
        <v>526007556.9294436</v>
      </c>
      <c r="Y106" s="90">
        <f t="shared" si="23"/>
        <v>572170712.83753204</v>
      </c>
      <c r="Z106" s="90">
        <f t="shared" si="23"/>
        <v>620108201.52825189</v>
      </c>
    </row>
    <row r="107" spans="1:26" ht="15" hidden="1" customHeight="1" outlineLevel="1" x14ac:dyDescent="0.3">
      <c r="A107" s="89" t="s">
        <v>489</v>
      </c>
      <c r="B107" s="90">
        <f>$J$82+B106</f>
        <v>2400000000</v>
      </c>
      <c r="C107" s="90">
        <f t="shared" ref="C107:Z107" si="24">B107+C106</f>
        <v>2202667224</v>
      </c>
      <c r="D107" s="90">
        <f t="shared" si="24"/>
        <v>2034665008.1199999</v>
      </c>
      <c r="E107" s="90">
        <f t="shared" si="24"/>
        <v>1896056006.4145999</v>
      </c>
      <c r="F107" s="90">
        <f t="shared" si="24"/>
        <v>1786969179.9689429</v>
      </c>
      <c r="G107" s="90">
        <f t="shared" si="24"/>
        <v>1707600269.4054904</v>
      </c>
      <c r="H107" s="90">
        <f t="shared" si="24"/>
        <v>1658212418.9441507</v>
      </c>
      <c r="I107" s="90">
        <f t="shared" si="24"/>
        <v>1639136953.8366668</v>
      </c>
      <c r="J107" s="90">
        <f t="shared" si="24"/>
        <v>1650774313.3462698</v>
      </c>
      <c r="K107" s="90">
        <f t="shared" si="24"/>
        <v>1693595141.7995534</v>
      </c>
      <c r="L107" s="90">
        <f t="shared" si="24"/>
        <v>1768141540.6001325</v>
      </c>
      <c r="M107" s="90">
        <f t="shared" si="24"/>
        <v>1875028484.4637635</v>
      </c>
      <c r="N107" s="90">
        <f t="shared" si="24"/>
        <v>2014945405.513063</v>
      </c>
      <c r="O107" s="90">
        <f t="shared" si="24"/>
        <v>2188657949.2576523</v>
      </c>
      <c r="P107" s="90">
        <f t="shared" si="24"/>
        <v>2397009906.883369</v>
      </c>
      <c r="Q107" s="90">
        <f t="shared" si="24"/>
        <v>2640925328.683044</v>
      </c>
      <c r="R107" s="90">
        <f t="shared" si="24"/>
        <v>2921410823.882205</v>
      </c>
      <c r="S107" s="90">
        <f t="shared" si="24"/>
        <v>3239558052.5468984</v>
      </c>
      <c r="T107" s="90">
        <f t="shared" si="24"/>
        <v>3596546415.7086506</v>
      </c>
      <c r="U107" s="90">
        <f t="shared" si="24"/>
        <v>3993645950.3044419</v>
      </c>
      <c r="V107" s="90">
        <f t="shared" si="24"/>
        <v>4432220436.0085564</v>
      </c>
      <c r="W107" s="90">
        <f t="shared" si="24"/>
        <v>4913730721.529377</v>
      </c>
      <c r="X107" s="90">
        <f t="shared" si="24"/>
        <v>5439738278.4588203</v>
      </c>
      <c r="Y107" s="90">
        <f t="shared" si="24"/>
        <v>6011908991.2963524</v>
      </c>
      <c r="Z107" s="90">
        <f t="shared" si="24"/>
        <v>6632017192.824604</v>
      </c>
    </row>
    <row r="108" spans="1:26" ht="15" hidden="1" customHeight="1" outlineLevel="1" x14ac:dyDescent="0.3">
      <c r="A108" s="89" t="s">
        <v>490</v>
      </c>
      <c r="B108" s="90">
        <f>B106</f>
        <v>-600000000</v>
      </c>
      <c r="C108" s="90">
        <f t="shared" ref="C108:Z108" si="25">B108+C106</f>
        <v>-797332776</v>
      </c>
      <c r="D108" s="90">
        <f t="shared" si="25"/>
        <v>-965334991.88</v>
      </c>
      <c r="E108" s="90">
        <f t="shared" si="25"/>
        <v>-1103943993.5854001</v>
      </c>
      <c r="F108" s="90">
        <f t="shared" si="25"/>
        <v>-1213030820.0310571</v>
      </c>
      <c r="G108" s="90">
        <f t="shared" si="25"/>
        <v>-1292399730.5945096</v>
      </c>
      <c r="H108" s="90">
        <f t="shared" si="25"/>
        <v>-1341787581.0558493</v>
      </c>
      <c r="I108" s="90">
        <f t="shared" si="25"/>
        <v>-1360863046.1633332</v>
      </c>
      <c r="J108" s="90">
        <f t="shared" si="25"/>
        <v>-1349225686.6537302</v>
      </c>
      <c r="K108" s="90">
        <f t="shared" si="25"/>
        <v>-1306404858.2004466</v>
      </c>
      <c r="L108" s="90">
        <f t="shared" si="25"/>
        <v>-1231858459.3998675</v>
      </c>
      <c r="M108" s="90">
        <f t="shared" si="25"/>
        <v>-1124971515.5362365</v>
      </c>
      <c r="N108" s="90">
        <f t="shared" si="25"/>
        <v>-985054594.48693717</v>
      </c>
      <c r="O108" s="90">
        <f t="shared" si="25"/>
        <v>-811342050.74234772</v>
      </c>
      <c r="P108" s="90">
        <f t="shared" si="25"/>
        <v>-602990093.11663103</v>
      </c>
      <c r="Q108" s="90">
        <f t="shared" si="25"/>
        <v>-359074671.31695598</v>
      </c>
      <c r="R108" s="90">
        <f t="shared" si="25"/>
        <v>-78589176.11779511</v>
      </c>
      <c r="S108" s="90">
        <f t="shared" si="25"/>
        <v>239558052.54689837</v>
      </c>
      <c r="T108" s="90">
        <f t="shared" si="25"/>
        <v>596546415.70865035</v>
      </c>
      <c r="U108" s="90">
        <f t="shared" si="25"/>
        <v>993645950.30444157</v>
      </c>
      <c r="V108" s="90">
        <f t="shared" si="25"/>
        <v>1432220436.0085564</v>
      </c>
      <c r="W108" s="90">
        <f t="shared" si="25"/>
        <v>1913730721.5293765</v>
      </c>
      <c r="X108" s="90">
        <f t="shared" si="25"/>
        <v>2439738278.4588203</v>
      </c>
      <c r="Y108" s="90">
        <f t="shared" si="25"/>
        <v>3011908991.2963524</v>
      </c>
      <c r="Z108" s="90">
        <f t="shared" si="25"/>
        <v>3632017192.824604</v>
      </c>
    </row>
    <row r="109" spans="1:26" ht="15" hidden="1" customHeight="1" outlineLevel="1" x14ac:dyDescent="0.3"/>
    <row r="110" spans="1:26" ht="15" hidden="1" customHeight="1" outlineLevel="1" x14ac:dyDescent="0.3">
      <c r="A110" s="89" t="s">
        <v>491</v>
      </c>
      <c r="C110" s="91">
        <f>$D$83*(1+$E$83)^0</f>
        <v>10</v>
      </c>
      <c r="D110" s="91">
        <f>$D$83*(1+$E$83)^1</f>
        <v>10.5</v>
      </c>
      <c r="E110" s="91">
        <f>$D$83*(1+$E$83)^2</f>
        <v>11.025</v>
      </c>
      <c r="F110" s="91">
        <f>$D$83*(1+$E$83)^3</f>
        <v>11.576250000000002</v>
      </c>
      <c r="G110" s="91">
        <f>$D$83*(1+$E$83)^4</f>
        <v>12.1550625</v>
      </c>
      <c r="H110" s="91">
        <f>$D$83*(1+$E$83)^5</f>
        <v>12.762815625000002</v>
      </c>
      <c r="I110" s="91">
        <f>$D$83*(1+$E$83)^6</f>
        <v>13.40095640625</v>
      </c>
      <c r="J110" s="91">
        <f>$D$83*(1+$E$83)^7</f>
        <v>14.071004226562502</v>
      </c>
      <c r="K110" s="91">
        <f>$D$83*(1+$E$83)^8</f>
        <v>14.774554437890625</v>
      </c>
      <c r="L110" s="91">
        <f>$D$83*(1+$E$83)^9</f>
        <v>15.513282159785158</v>
      </c>
      <c r="M110" s="91">
        <f>$D$83*(1+$E$83)^10</f>
        <v>16.288946267774417</v>
      </c>
      <c r="N110" s="91">
        <f>$D$83*(1+$E$83)^11</f>
        <v>17.103393581163139</v>
      </c>
      <c r="O110" s="91">
        <f>$D$83*(1+$E$83)^12</f>
        <v>17.958563260221293</v>
      </c>
      <c r="P110" s="91">
        <f>$D$83*(1+$E$83)^13</f>
        <v>18.856491423232359</v>
      </c>
      <c r="Q110" s="91">
        <f>$D$83*(1+$E$83)^14</f>
        <v>19.799315994393972</v>
      </c>
      <c r="R110" s="91">
        <f>$D$83*(1+$E$83)^15</f>
        <v>20.789281794113677</v>
      </c>
      <c r="S110" s="91">
        <f>$D$83*(1+$E$83)^16</f>
        <v>21.828745883819359</v>
      </c>
      <c r="T110" s="91">
        <f>$D$83*(1+$E$83)^17</f>
        <v>22.920183178010333</v>
      </c>
      <c r="U110" s="91">
        <f>$D$83*(1+$E$83)^18</f>
        <v>24.066192336910849</v>
      </c>
      <c r="V110" s="91">
        <f>$D$83*(1+$E$83)^19</f>
        <v>25.269501953756389</v>
      </c>
      <c r="W110" s="91">
        <f>$D$83*(1+$E$83)^20</f>
        <v>26.53297705144421</v>
      </c>
      <c r="X110" s="91">
        <f>$D$83*(1+$E$83)^21</f>
        <v>27.859625904016418</v>
      </c>
      <c r="Y110" s="91">
        <f>$D$83*(1+$E$83)^22</f>
        <v>29.252607199217238</v>
      </c>
      <c r="Z110" s="91">
        <f>$D$83*(1+$E$83)^23</f>
        <v>30.715237559178107</v>
      </c>
    </row>
    <row r="111" spans="1:26" ht="15" hidden="1" customHeight="1" outlineLevel="1" x14ac:dyDescent="0.3">
      <c r="A111" s="89" t="s">
        <v>492</v>
      </c>
      <c r="B111" s="89">
        <v>0</v>
      </c>
      <c r="C111" s="91">
        <f t="shared" ref="C111:Z111" si="26">B111*(1-$F$83)+C110</f>
        <v>10</v>
      </c>
      <c r="D111" s="91">
        <f t="shared" si="26"/>
        <v>19.96</v>
      </c>
      <c r="E111" s="91">
        <f t="shared" si="26"/>
        <v>29.907159999999998</v>
      </c>
      <c r="F111" s="91">
        <f t="shared" si="26"/>
        <v>39.868423359999994</v>
      </c>
      <c r="G111" s="91">
        <f t="shared" si="26"/>
        <v>49.87059099855999</v>
      </c>
      <c r="H111" s="91">
        <f t="shared" si="26"/>
        <v>59.940394709637751</v>
      </c>
      <c r="I111" s="91">
        <f t="shared" si="26"/>
        <v>70.104569801567308</v>
      </c>
      <c r="J111" s="91">
        <f t="shared" si="26"/>
        <v>80.389927258845177</v>
      </c>
      <c r="K111" s="91">
        <f t="shared" si="26"/>
        <v>90.823425624758158</v>
      </c>
      <c r="L111" s="91">
        <f t="shared" si="26"/>
        <v>101.43224280080638</v>
      </c>
      <c r="M111" s="91">
        <f t="shared" si="26"/>
        <v>112.24384795733725</v>
      </c>
      <c r="N111" s="91">
        <f t="shared" si="26"/>
        <v>123.28607374880417</v>
      </c>
      <c r="O111" s="91">
        <f t="shared" si="26"/>
        <v>134.58718902659004</v>
      </c>
      <c r="P111" s="91">
        <f t="shared" si="26"/>
        <v>146.17597224238654</v>
      </c>
      <c r="Q111" s="91">
        <f t="shared" si="26"/>
        <v>158.08178573569162</v>
      </c>
      <c r="R111" s="91">
        <f t="shared" si="26"/>
        <v>170.33465110007796</v>
      </c>
      <c r="S111" s="91">
        <f t="shared" si="26"/>
        <v>182.96532582449311</v>
      </c>
      <c r="T111" s="91">
        <f t="shared" si="26"/>
        <v>196.00538140798079</v>
      </c>
      <c r="U111" s="91">
        <f t="shared" si="26"/>
        <v>209.48728314886068</v>
      </c>
      <c r="V111" s="91">
        <f t="shared" si="26"/>
        <v>223.4444718125786</v>
      </c>
      <c r="W111" s="91">
        <f t="shared" si="26"/>
        <v>237.91144738614355</v>
      </c>
      <c r="X111" s="91">
        <f t="shared" si="26"/>
        <v>252.92385513130819</v>
      </c>
      <c r="Y111" s="91">
        <f t="shared" si="26"/>
        <v>268.51857415343477</v>
      </c>
      <c r="Z111" s="91">
        <f t="shared" si="26"/>
        <v>284.73380870832739</v>
      </c>
    </row>
    <row r="112" spans="1:26" ht="15" hidden="1" customHeight="1" outlineLevel="1" x14ac:dyDescent="0.3">
      <c r="A112" s="89" t="s">
        <v>493</v>
      </c>
      <c r="B112" s="90">
        <f>-$I$83</f>
        <v>-600000000</v>
      </c>
      <c r="C112" s="90">
        <f t="shared" ref="C112:Z112" si="27">C111*($B$83-$C$83)-C110*$G$83-$H$83</f>
        <v>-194093980</v>
      </c>
      <c r="D112" s="90">
        <f t="shared" si="27"/>
        <v>-161831584.07999998</v>
      </c>
      <c r="E112" s="90">
        <f t="shared" si="27"/>
        <v>-129790291.48968001</v>
      </c>
      <c r="F112" s="90">
        <f t="shared" si="27"/>
        <v>-97882109.34673731</v>
      </c>
      <c r="G112" s="90">
        <f t="shared" si="27"/>
        <v>-66019993.719388515</v>
      </c>
      <c r="H112" s="90">
        <f t="shared" si="27"/>
        <v>-34117608.249785289</v>
      </c>
      <c r="I112" s="90">
        <f t="shared" si="27"/>
        <v>-2089086.3051028252</v>
      </c>
      <c r="J112" s="90">
        <f t="shared" si="27"/>
        <v>30151204.009526491</v>
      </c>
      <c r="K112" s="90">
        <f t="shared" si="27"/>
        <v>62688892.629873514</v>
      </c>
      <c r="L112" s="90">
        <f t="shared" si="27"/>
        <v>95609838.746564865</v>
      </c>
      <c r="M112" s="90">
        <f t="shared" si="27"/>
        <v>129000361.08889014</v>
      </c>
      <c r="N112" s="90">
        <f t="shared" si="27"/>
        <v>162947467.90646178</v>
      </c>
      <c r="O112" s="90">
        <f t="shared" si="27"/>
        <v>197539087.27170318</v>
      </c>
      <c r="P112" s="90">
        <f t="shared" si="27"/>
        <v>232864298.32283103</v>
      </c>
      <c r="Q112" s="90">
        <f t="shared" si="27"/>
        <v>269013564.06538802</v>
      </c>
      <c r="R112" s="90">
        <f t="shared" si="27"/>
        <v>306078966.3504464</v>
      </c>
      <c r="S112" s="90">
        <f t="shared" si="27"/>
        <v>344154443.64934111</v>
      </c>
      <c r="T112" s="90">
        <f t="shared" si="27"/>
        <v>383336032.24818635</v>
      </c>
      <c r="U112" s="90">
        <f t="shared" si="27"/>
        <v>423722111.4904896</v>
      </c>
      <c r="V112" s="90">
        <f t="shared" si="27"/>
        <v>465413653.70289361</v>
      </c>
      <c r="W112" s="90">
        <f t="shared" si="27"/>
        <v>508514479.44747233</v>
      </c>
      <c r="X112" s="90">
        <f t="shared" si="27"/>
        <v>553131518.75407052</v>
      </c>
      <c r="Y112" s="90">
        <f t="shared" si="27"/>
        <v>599375078.99795055</v>
      </c>
      <c r="Z112" s="90">
        <f t="shared" si="27"/>
        <v>647359120.10149097</v>
      </c>
    </row>
    <row r="113" spans="1:26" ht="15" hidden="1" customHeight="1" outlineLevel="1" x14ac:dyDescent="0.3">
      <c r="A113" s="89" t="s">
        <v>494</v>
      </c>
      <c r="B113" s="90">
        <f>$J$83+B112</f>
        <v>2400000000</v>
      </c>
      <c r="C113" s="90">
        <f t="shared" ref="C113:Z113" si="28">B113+C112</f>
        <v>2205906020</v>
      </c>
      <c r="D113" s="90">
        <f t="shared" si="28"/>
        <v>2044074435.9200001</v>
      </c>
      <c r="E113" s="90">
        <f t="shared" si="28"/>
        <v>1914284144.43032</v>
      </c>
      <c r="F113" s="90">
        <f t="shared" si="28"/>
        <v>1816402035.0835826</v>
      </c>
      <c r="G113" s="90">
        <f t="shared" si="28"/>
        <v>1750382041.3641942</v>
      </c>
      <c r="H113" s="90">
        <f t="shared" si="28"/>
        <v>1716264433.114409</v>
      </c>
      <c r="I113" s="90">
        <f t="shared" si="28"/>
        <v>1714175346.8093061</v>
      </c>
      <c r="J113" s="90">
        <f t="shared" si="28"/>
        <v>1744326550.8188326</v>
      </c>
      <c r="K113" s="90">
        <f t="shared" si="28"/>
        <v>1807015443.4487062</v>
      </c>
      <c r="L113" s="90">
        <f t="shared" si="28"/>
        <v>1902625282.195271</v>
      </c>
      <c r="M113" s="90">
        <f t="shared" si="28"/>
        <v>2031625643.2841611</v>
      </c>
      <c r="N113" s="90">
        <f t="shared" si="28"/>
        <v>2194573111.1906228</v>
      </c>
      <c r="O113" s="90">
        <f t="shared" si="28"/>
        <v>2392112198.462326</v>
      </c>
      <c r="P113" s="90">
        <f t="shared" si="28"/>
        <v>2624976496.7851572</v>
      </c>
      <c r="Q113" s="90">
        <f t="shared" si="28"/>
        <v>2893990060.8505454</v>
      </c>
      <c r="R113" s="90">
        <f t="shared" si="28"/>
        <v>3200069027.2009916</v>
      </c>
      <c r="S113" s="90">
        <f t="shared" si="28"/>
        <v>3544223470.8503327</v>
      </c>
      <c r="T113" s="90">
        <f t="shared" si="28"/>
        <v>3927559503.0985193</v>
      </c>
      <c r="U113" s="90">
        <f t="shared" si="28"/>
        <v>4351281614.5890093</v>
      </c>
      <c r="V113" s="90">
        <f t="shared" si="28"/>
        <v>4816695268.2919025</v>
      </c>
      <c r="W113" s="90">
        <f t="shared" si="28"/>
        <v>5325209747.7393751</v>
      </c>
      <c r="X113" s="90">
        <f t="shared" si="28"/>
        <v>5878341266.4934454</v>
      </c>
      <c r="Y113" s="90">
        <f t="shared" si="28"/>
        <v>6477716345.491396</v>
      </c>
      <c r="Z113" s="90">
        <f t="shared" si="28"/>
        <v>7125075465.5928869</v>
      </c>
    </row>
    <row r="114" spans="1:26" ht="15" hidden="1" customHeight="1" outlineLevel="1" x14ac:dyDescent="0.3">
      <c r="A114" s="89" t="s">
        <v>495</v>
      </c>
      <c r="B114" s="90">
        <f>B112</f>
        <v>-600000000</v>
      </c>
      <c r="C114" s="90">
        <f t="shared" ref="C114:Z114" si="29">B114+C112</f>
        <v>-794093980</v>
      </c>
      <c r="D114" s="90">
        <f t="shared" si="29"/>
        <v>-955925564.07999992</v>
      </c>
      <c r="E114" s="90">
        <f t="shared" si="29"/>
        <v>-1085715855.56968</v>
      </c>
      <c r="F114" s="90">
        <f t="shared" si="29"/>
        <v>-1183597964.9164174</v>
      </c>
      <c r="G114" s="90">
        <f t="shared" si="29"/>
        <v>-1249617958.6358058</v>
      </c>
      <c r="H114" s="90">
        <f t="shared" si="29"/>
        <v>-1283735566.885591</v>
      </c>
      <c r="I114" s="90">
        <f t="shared" si="29"/>
        <v>-1285824653.1906939</v>
      </c>
      <c r="J114" s="90">
        <f t="shared" si="29"/>
        <v>-1255673449.1811674</v>
      </c>
      <c r="K114" s="90">
        <f t="shared" si="29"/>
        <v>-1192984556.5512938</v>
      </c>
      <c r="L114" s="90">
        <f t="shared" si="29"/>
        <v>-1097374717.804729</v>
      </c>
      <c r="M114" s="90">
        <f t="shared" si="29"/>
        <v>-968374356.71583891</v>
      </c>
      <c r="N114" s="90">
        <f t="shared" si="29"/>
        <v>-805426888.80937719</v>
      </c>
      <c r="O114" s="90">
        <f t="shared" si="29"/>
        <v>-607887801.53767395</v>
      </c>
      <c r="P114" s="90">
        <f t="shared" si="29"/>
        <v>-375023503.21484292</v>
      </c>
      <c r="Q114" s="90">
        <f t="shared" si="29"/>
        <v>-106009939.14945489</v>
      </c>
      <c r="R114" s="90">
        <f t="shared" si="29"/>
        <v>200069027.20099151</v>
      </c>
      <c r="S114" s="90">
        <f t="shared" si="29"/>
        <v>544223470.85033262</v>
      </c>
      <c r="T114" s="90">
        <f t="shared" si="29"/>
        <v>927559503.09851897</v>
      </c>
      <c r="U114" s="90">
        <f t="shared" si="29"/>
        <v>1351281614.5890086</v>
      </c>
      <c r="V114" s="90">
        <f t="shared" si="29"/>
        <v>1816695268.2919021</v>
      </c>
      <c r="W114" s="90">
        <f t="shared" si="29"/>
        <v>2325209747.7393742</v>
      </c>
      <c r="X114" s="90">
        <f t="shared" si="29"/>
        <v>2878341266.4934444</v>
      </c>
      <c r="Y114" s="90">
        <f t="shared" si="29"/>
        <v>3477716345.491395</v>
      </c>
      <c r="Z114" s="90">
        <f t="shared" si="29"/>
        <v>4125075465.592886</v>
      </c>
    </row>
    <row r="115" spans="1:26" ht="15" hidden="1" customHeight="1" outlineLevel="1" x14ac:dyDescent="0.3"/>
    <row r="116" spans="1:26" ht="15" hidden="1" customHeight="1" outlineLevel="1" x14ac:dyDescent="0.3">
      <c r="A116" s="89" t="s">
        <v>496</v>
      </c>
      <c r="C116" s="91">
        <f>$D$84*(1+$E$84)^0</f>
        <v>10</v>
      </c>
      <c r="D116" s="91">
        <f>$D$84*(1+$E$84)^1</f>
        <v>10.5</v>
      </c>
      <c r="E116" s="91">
        <f>$D$84*(1+$E$84)^2</f>
        <v>11.025</v>
      </c>
      <c r="F116" s="91">
        <f>$D$84*(1+$E$84)^3</f>
        <v>11.576250000000002</v>
      </c>
      <c r="G116" s="91">
        <f>$D$84*(1+$E$84)^4</f>
        <v>12.1550625</v>
      </c>
      <c r="H116" s="91">
        <f>$D$84*(1+$E$84)^5</f>
        <v>12.762815625000002</v>
      </c>
      <c r="I116" s="91">
        <f>$D$84*(1+$E$84)^6</f>
        <v>13.40095640625</v>
      </c>
      <c r="J116" s="91">
        <f>$D$84*(1+$E$84)^7</f>
        <v>14.071004226562502</v>
      </c>
      <c r="K116" s="91">
        <f>$D$84*(1+$E$84)^8</f>
        <v>14.774554437890625</v>
      </c>
      <c r="L116" s="91">
        <f>$D$84*(1+$E$84)^9</f>
        <v>15.513282159785158</v>
      </c>
      <c r="M116" s="91">
        <f>$D$84*(1+$E$84)^10</f>
        <v>16.288946267774417</v>
      </c>
      <c r="N116" s="91">
        <f>$D$84*(1+$E$84)^11</f>
        <v>17.103393581163139</v>
      </c>
      <c r="O116" s="91">
        <f>$D$84*(1+$E$84)^12</f>
        <v>17.958563260221293</v>
      </c>
      <c r="P116" s="91">
        <f>$D$84*(1+$E$84)^13</f>
        <v>18.856491423232359</v>
      </c>
      <c r="Q116" s="91">
        <f>$D$84*(1+$E$84)^14</f>
        <v>19.799315994393972</v>
      </c>
      <c r="R116" s="91">
        <f>$D$84*(1+$E$84)^15</f>
        <v>20.789281794113677</v>
      </c>
      <c r="S116" s="91">
        <f>$D$84*(1+$E$84)^16</f>
        <v>21.828745883819359</v>
      </c>
      <c r="T116" s="91">
        <f>$D$84*(1+$E$84)^17</f>
        <v>22.920183178010333</v>
      </c>
      <c r="U116" s="91">
        <f>$D$84*(1+$E$84)^18</f>
        <v>24.066192336910849</v>
      </c>
      <c r="V116" s="91">
        <f>$D$84*(1+$E$84)^19</f>
        <v>25.269501953756389</v>
      </c>
      <c r="W116" s="91">
        <f>$D$84*(1+$E$84)^20</f>
        <v>26.53297705144421</v>
      </c>
      <c r="X116" s="91">
        <f>$D$84*(1+$E$84)^21</f>
        <v>27.859625904016418</v>
      </c>
      <c r="Y116" s="91">
        <f>$D$84*(1+$E$84)^22</f>
        <v>29.252607199217238</v>
      </c>
      <c r="Z116" s="91">
        <f>$D$84*(1+$E$84)^23</f>
        <v>30.715237559178107</v>
      </c>
    </row>
    <row r="117" spans="1:26" ht="15" hidden="1" customHeight="1" outlineLevel="1" x14ac:dyDescent="0.3">
      <c r="A117" s="89" t="s">
        <v>497</v>
      </c>
      <c r="B117" s="89">
        <v>0</v>
      </c>
      <c r="C117" s="91">
        <f t="shared" ref="C117:Z117" si="30">B117*(1-$F$84)+C116</f>
        <v>10</v>
      </c>
      <c r="D117" s="91">
        <f t="shared" si="30"/>
        <v>20.049999999999997</v>
      </c>
      <c r="E117" s="91">
        <f t="shared" si="30"/>
        <v>30.172749999999994</v>
      </c>
      <c r="F117" s="91">
        <f t="shared" si="30"/>
        <v>40.391226249999995</v>
      </c>
      <c r="G117" s="91">
        <f t="shared" si="30"/>
        <v>50.728683568749993</v>
      </c>
      <c r="H117" s="91">
        <f t="shared" si="30"/>
        <v>61.208708433156247</v>
      </c>
      <c r="I117" s="91">
        <f t="shared" si="30"/>
        <v>71.855272959914217</v>
      </c>
      <c r="J117" s="91">
        <f t="shared" si="30"/>
        <v>82.692789903280584</v>
      </c>
      <c r="K117" s="91">
        <f t="shared" si="30"/>
        <v>93.746168795523587</v>
      </c>
      <c r="L117" s="91">
        <f t="shared" si="30"/>
        <v>105.04087335951019</v>
      </c>
      <c r="M117" s="91">
        <f t="shared" si="30"/>
        <v>116.60298032610665</v>
      </c>
      <c r="N117" s="91">
        <f t="shared" si="30"/>
        <v>128.45923979259499</v>
      </c>
      <c r="O117" s="91">
        <f t="shared" si="30"/>
        <v>140.63713726214951</v>
      </c>
      <c r="P117" s="91">
        <f t="shared" si="30"/>
        <v>153.16495750858513</v>
      </c>
      <c r="Q117" s="91">
        <f t="shared" si="30"/>
        <v>166.07185041509277</v>
      </c>
      <c r="R117" s="91">
        <f t="shared" si="30"/>
        <v>179.38789894052724</v>
      </c>
      <c r="S117" s="91">
        <f t="shared" si="30"/>
        <v>193.14418937202285</v>
      </c>
      <c r="T117" s="91">
        <f t="shared" si="30"/>
        <v>207.37288402829216</v>
      </c>
      <c r="U117" s="91">
        <f t="shared" si="30"/>
        <v>222.10729658392987</v>
      </c>
      <c r="V117" s="91">
        <f t="shared" si="30"/>
        <v>237.38197019140941</v>
      </c>
      <c r="W117" s="91">
        <f t="shared" si="30"/>
        <v>253.2327585842402</v>
      </c>
      <c r="X117" s="91">
        <f t="shared" si="30"/>
        <v>269.69691035196581</v>
      </c>
      <c r="Y117" s="91">
        <f t="shared" si="30"/>
        <v>286.81315658534459</v>
      </c>
      <c r="Z117" s="91">
        <f t="shared" si="30"/>
        <v>304.62180209818217</v>
      </c>
    </row>
    <row r="118" spans="1:26" ht="15" hidden="1" customHeight="1" outlineLevel="1" x14ac:dyDescent="0.3">
      <c r="A118" s="89" t="s">
        <v>498</v>
      </c>
      <c r="B118" s="90">
        <f>-$I$84</f>
        <v>-600000000</v>
      </c>
      <c r="C118" s="90">
        <f t="shared" ref="C118:Z118" si="31">C117*($B$84-$C$84)-C116*$G$84-$H$84</f>
        <v>-208093980</v>
      </c>
      <c r="D118" s="90">
        <f t="shared" si="31"/>
        <v>-176208429.90000001</v>
      </c>
      <c r="E118" s="90">
        <f t="shared" si="31"/>
        <v>-144271663.50450003</v>
      </c>
      <c r="F118" s="90">
        <f t="shared" si="31"/>
        <v>-112211682.24429752</v>
      </c>
      <c r="G118" s="90">
        <f t="shared" si="31"/>
        <v>-79956012.320679128</v>
      </c>
      <c r="H118" s="90">
        <f t="shared" si="31"/>
        <v>-47431540.332492337</v>
      </c>
      <c r="I118" s="90">
        <f t="shared" si="31"/>
        <v>-14564347.012086093</v>
      </c>
      <c r="J118" s="90">
        <f t="shared" si="31"/>
        <v>18720461.309174061</v>
      </c>
      <c r="K118" s="90">
        <f t="shared" si="31"/>
        <v>52498923.891263306</v>
      </c>
      <c r="L118" s="90">
        <f t="shared" si="31"/>
        <v>86848399.824208677</v>
      </c>
      <c r="M118" s="90">
        <f t="shared" si="31"/>
        <v>121847745.71557409</v>
      </c>
      <c r="N118" s="90">
        <f t="shared" si="31"/>
        <v>157577497.23600078</v>
      </c>
      <c r="O118" s="90">
        <f t="shared" si="31"/>
        <v>194120054.94188964</v>
      </c>
      <c r="P118" s="90">
        <f t="shared" si="31"/>
        <v>231559874.805089</v>
      </c>
      <c r="Q118" s="90">
        <f t="shared" si="31"/>
        <v>269983663.89122355</v>
      </c>
      <c r="R118" s="90">
        <f t="shared" si="31"/>
        <v>309480581.64110017</v>
      </c>
      <c r="S118" s="90">
        <f t="shared" si="31"/>
        <v>350142447.2234813</v>
      </c>
      <c r="T118" s="90">
        <f t="shared" si="31"/>
        <v>392063953.44246697</v>
      </c>
      <c r="U118" s="90">
        <f t="shared" si="31"/>
        <v>435342887.69880056</v>
      </c>
      <c r="V118" s="90">
        <f t="shared" si="31"/>
        <v>480080360.52166128</v>
      </c>
      <c r="W118" s="90">
        <f t="shared" si="31"/>
        <v>526381042.20595872</v>
      </c>
      <c r="X118" s="90">
        <f t="shared" si="31"/>
        <v>574353408.10985124</v>
      </c>
      <c r="Y118" s="90">
        <f t="shared" si="31"/>
        <v>624109993.1882267</v>
      </c>
      <c r="Z118" s="90">
        <f t="shared" si="31"/>
        <v>675767656.36024094</v>
      </c>
    </row>
    <row r="119" spans="1:26" ht="15" hidden="1" customHeight="1" outlineLevel="1" x14ac:dyDescent="0.3">
      <c r="A119" s="89" t="s">
        <v>499</v>
      </c>
      <c r="B119" s="90">
        <f>$J$84+B118</f>
        <v>2400000000</v>
      </c>
      <c r="C119" s="90">
        <f t="shared" ref="C119:Z119" si="32">B119+C118</f>
        <v>2191906020</v>
      </c>
      <c r="D119" s="90">
        <f t="shared" si="32"/>
        <v>2015697590.0999999</v>
      </c>
      <c r="E119" s="90">
        <f t="shared" si="32"/>
        <v>1871425926.5955</v>
      </c>
      <c r="F119" s="90">
        <f t="shared" si="32"/>
        <v>1759214244.3512025</v>
      </c>
      <c r="G119" s="90">
        <f t="shared" si="32"/>
        <v>1679258232.0305233</v>
      </c>
      <c r="H119" s="90">
        <f t="shared" si="32"/>
        <v>1631826691.6980309</v>
      </c>
      <c r="I119" s="90">
        <f t="shared" si="32"/>
        <v>1617262344.6859448</v>
      </c>
      <c r="J119" s="90">
        <f t="shared" si="32"/>
        <v>1635982805.9951189</v>
      </c>
      <c r="K119" s="90">
        <f t="shared" si="32"/>
        <v>1688481729.8863821</v>
      </c>
      <c r="L119" s="90">
        <f t="shared" si="32"/>
        <v>1775330129.7105908</v>
      </c>
      <c r="M119" s="90">
        <f t="shared" si="32"/>
        <v>1897177875.4261649</v>
      </c>
      <c r="N119" s="90">
        <f t="shared" si="32"/>
        <v>2054755372.6621656</v>
      </c>
      <c r="O119" s="90">
        <f t="shared" si="32"/>
        <v>2248875427.6040554</v>
      </c>
      <c r="P119" s="90">
        <f t="shared" si="32"/>
        <v>2480435302.4091444</v>
      </c>
      <c r="Q119" s="90">
        <f t="shared" si="32"/>
        <v>2750418966.3003678</v>
      </c>
      <c r="R119" s="90">
        <f t="shared" si="32"/>
        <v>3059899547.9414682</v>
      </c>
      <c r="S119" s="90">
        <f t="shared" si="32"/>
        <v>3410041995.1649494</v>
      </c>
      <c r="T119" s="90">
        <f t="shared" si="32"/>
        <v>3802105948.6074162</v>
      </c>
      <c r="U119" s="90">
        <f t="shared" si="32"/>
        <v>4237448836.3062167</v>
      </c>
      <c r="V119" s="90">
        <f t="shared" si="32"/>
        <v>4717529196.827878</v>
      </c>
      <c r="W119" s="90">
        <f t="shared" si="32"/>
        <v>5243910239.0338364</v>
      </c>
      <c r="X119" s="90">
        <f t="shared" si="32"/>
        <v>5818263647.1436872</v>
      </c>
      <c r="Y119" s="90">
        <f t="shared" si="32"/>
        <v>6442373640.3319139</v>
      </c>
      <c r="Z119" s="90">
        <f t="shared" si="32"/>
        <v>7118141296.6921549</v>
      </c>
    </row>
    <row r="120" spans="1:26" ht="15" hidden="1" customHeight="1" outlineLevel="1" x14ac:dyDescent="0.3">
      <c r="A120" s="89" t="s">
        <v>500</v>
      </c>
      <c r="B120" s="90">
        <f>B118</f>
        <v>-600000000</v>
      </c>
      <c r="C120" s="90">
        <f t="shared" ref="C120:Z120" si="33">B120+C118</f>
        <v>-808093980</v>
      </c>
      <c r="D120" s="90">
        <f t="shared" si="33"/>
        <v>-984302409.89999998</v>
      </c>
      <c r="E120" s="90">
        <f t="shared" si="33"/>
        <v>-1128574073.4045</v>
      </c>
      <c r="F120" s="90">
        <f t="shared" si="33"/>
        <v>-1240785755.6487975</v>
      </c>
      <c r="G120" s="90">
        <f t="shared" si="33"/>
        <v>-1320741767.9694767</v>
      </c>
      <c r="H120" s="90">
        <f t="shared" si="33"/>
        <v>-1368173308.3019691</v>
      </c>
      <c r="I120" s="90">
        <f t="shared" si="33"/>
        <v>-1382737655.3140552</v>
      </c>
      <c r="J120" s="90">
        <f t="shared" si="33"/>
        <v>-1364017194.0048811</v>
      </c>
      <c r="K120" s="90">
        <f t="shared" si="33"/>
        <v>-1311518270.1136179</v>
      </c>
      <c r="L120" s="90">
        <f t="shared" si="33"/>
        <v>-1224669870.2894092</v>
      </c>
      <c r="M120" s="90">
        <f t="shared" si="33"/>
        <v>-1102822124.5738351</v>
      </c>
      <c r="N120" s="90">
        <f t="shared" si="33"/>
        <v>-945244627.33783436</v>
      </c>
      <c r="O120" s="90">
        <f t="shared" si="33"/>
        <v>-751124572.39594471</v>
      </c>
      <c r="P120" s="90">
        <f t="shared" si="33"/>
        <v>-519564697.59085572</v>
      </c>
      <c r="Q120" s="90">
        <f t="shared" si="33"/>
        <v>-249581033.69963217</v>
      </c>
      <c r="R120" s="90">
        <f t="shared" si="33"/>
        <v>59899547.941468</v>
      </c>
      <c r="S120" s="90">
        <f t="shared" si="33"/>
        <v>410041995.1649493</v>
      </c>
      <c r="T120" s="90">
        <f t="shared" si="33"/>
        <v>802105948.60741627</v>
      </c>
      <c r="U120" s="90">
        <f t="shared" si="33"/>
        <v>1237448836.3062167</v>
      </c>
      <c r="V120" s="90">
        <f t="shared" si="33"/>
        <v>1717529196.827878</v>
      </c>
      <c r="W120" s="90">
        <f t="shared" si="33"/>
        <v>2243910239.0338368</v>
      </c>
      <c r="X120" s="90">
        <f t="shared" si="33"/>
        <v>2818263647.1436882</v>
      </c>
      <c r="Y120" s="90">
        <f t="shared" si="33"/>
        <v>3442373640.3319149</v>
      </c>
      <c r="Z120" s="90">
        <f t="shared" si="33"/>
        <v>4118141296.6921558</v>
      </c>
    </row>
    <row r="121" spans="1:26" ht="15" hidden="1" customHeight="1" outlineLevel="1" x14ac:dyDescent="0.3"/>
    <row r="122" spans="1:26" ht="15" hidden="1" customHeight="1" outlineLevel="1" x14ac:dyDescent="0.3">
      <c r="A122" s="89" t="s">
        <v>501</v>
      </c>
      <c r="C122" s="91">
        <f>$D$85*(1+$E$85)^0</f>
        <v>8</v>
      </c>
      <c r="D122" s="91">
        <f>$D$85*(1+$E$85)^1</f>
        <v>8.4</v>
      </c>
      <c r="E122" s="91">
        <f>$D$85*(1+$E$85)^2</f>
        <v>8.82</v>
      </c>
      <c r="F122" s="91">
        <f>$D$85*(1+$E$85)^3</f>
        <v>9.261000000000001</v>
      </c>
      <c r="G122" s="91">
        <f>$D$85*(1+$E$85)^4</f>
        <v>9.7240500000000001</v>
      </c>
      <c r="H122" s="91">
        <f>$D$85*(1+$E$85)^5</f>
        <v>10.210252500000001</v>
      </c>
      <c r="I122" s="91">
        <f>$D$85*(1+$E$85)^6</f>
        <v>10.720765125</v>
      </c>
      <c r="J122" s="91">
        <f>$D$85*(1+$E$85)^7</f>
        <v>11.256803381250002</v>
      </c>
      <c r="K122" s="91">
        <f>$D$85*(1+$E$85)^8</f>
        <v>11.819643550312501</v>
      </c>
      <c r="L122" s="91">
        <f>$D$85*(1+$E$85)^9</f>
        <v>12.410625727828126</v>
      </c>
      <c r="M122" s="91">
        <f>$D$85*(1+$E$85)^10</f>
        <v>13.031157014219533</v>
      </c>
      <c r="N122" s="91">
        <f>$D$85*(1+$E$85)^11</f>
        <v>13.68271486493051</v>
      </c>
      <c r="O122" s="91">
        <f>$D$85*(1+$E$85)^12</f>
        <v>14.366850608177034</v>
      </c>
      <c r="P122" s="91">
        <f>$D$85*(1+$E$85)^13</f>
        <v>15.085193138585888</v>
      </c>
      <c r="Q122" s="91">
        <f>$D$85*(1+$E$85)^14</f>
        <v>15.839452795515179</v>
      </c>
      <c r="R122" s="91">
        <f>$D$85*(1+$E$85)^15</f>
        <v>16.631425435290943</v>
      </c>
      <c r="S122" s="91">
        <f>$D$85*(1+$E$85)^16</f>
        <v>17.462996707055488</v>
      </c>
      <c r="T122" s="91">
        <f>$D$85*(1+$E$85)^17</f>
        <v>18.336146542408265</v>
      </c>
      <c r="U122" s="91">
        <f>$D$85*(1+$E$85)^18</f>
        <v>19.252953869528678</v>
      </c>
      <c r="V122" s="91">
        <f>$D$85*(1+$E$85)^19</f>
        <v>20.215601563005112</v>
      </c>
      <c r="W122" s="91">
        <f>$D$85*(1+$E$85)^20</f>
        <v>21.226381641155367</v>
      </c>
      <c r="X122" s="91">
        <f>$D$85*(1+$E$85)^21</f>
        <v>22.287700723213135</v>
      </c>
      <c r="Y122" s="91">
        <f>$D$85*(1+$E$85)^22</f>
        <v>23.40208575937379</v>
      </c>
      <c r="Z122" s="91">
        <f>$D$85*(1+$E$85)^23</f>
        <v>24.572190047342485</v>
      </c>
    </row>
    <row r="123" spans="1:26" ht="15" hidden="1" customHeight="1" outlineLevel="1" x14ac:dyDescent="0.3">
      <c r="A123" s="89" t="s">
        <v>502</v>
      </c>
      <c r="B123" s="89">
        <v>0</v>
      </c>
      <c r="C123" s="91">
        <f t="shared" ref="C123:Z123" si="34">B123*(1-$F$85)+C122</f>
        <v>8</v>
      </c>
      <c r="D123" s="91">
        <f t="shared" si="34"/>
        <v>16.04</v>
      </c>
      <c r="E123" s="91">
        <f t="shared" si="34"/>
        <v>24.138199999999998</v>
      </c>
      <c r="F123" s="91">
        <f t="shared" si="34"/>
        <v>32.312981000000001</v>
      </c>
      <c r="G123" s="91">
        <f t="shared" si="34"/>
        <v>40.582946854999996</v>
      </c>
      <c r="H123" s="91">
        <f t="shared" si="34"/>
        <v>48.966966746524996</v>
      </c>
      <c r="I123" s="91">
        <f t="shared" si="34"/>
        <v>57.484218367931369</v>
      </c>
      <c r="J123" s="91">
        <f t="shared" si="34"/>
        <v>66.154231922624462</v>
      </c>
      <c r="K123" s="91">
        <f t="shared" si="34"/>
        <v>74.996935036418861</v>
      </c>
      <c r="L123" s="91">
        <f t="shared" si="34"/>
        <v>84.032698687608132</v>
      </c>
      <c r="M123" s="91">
        <f t="shared" si="34"/>
        <v>93.282384260885294</v>
      </c>
      <c r="N123" s="91">
        <f t="shared" si="34"/>
        <v>102.76739183407597</v>
      </c>
      <c r="O123" s="91">
        <f t="shared" si="34"/>
        <v>112.50970980971958</v>
      </c>
      <c r="P123" s="91">
        <f t="shared" si="34"/>
        <v>122.53196600686809</v>
      </c>
      <c r="Q123" s="91">
        <f t="shared" si="34"/>
        <v>132.8574803320742</v>
      </c>
      <c r="R123" s="91">
        <f t="shared" si="34"/>
        <v>143.5103191524218</v>
      </c>
      <c r="S123" s="91">
        <f t="shared" si="34"/>
        <v>154.5153514976183</v>
      </c>
      <c r="T123" s="91">
        <f t="shared" si="34"/>
        <v>165.89830722263375</v>
      </c>
      <c r="U123" s="91">
        <f t="shared" si="34"/>
        <v>177.68583726714391</v>
      </c>
      <c r="V123" s="91">
        <f t="shared" si="34"/>
        <v>189.90557615312756</v>
      </c>
      <c r="W123" s="91">
        <f t="shared" si="34"/>
        <v>202.58620686739218</v>
      </c>
      <c r="X123" s="91">
        <f t="shared" si="34"/>
        <v>215.75752828157266</v>
      </c>
      <c r="Y123" s="91">
        <f t="shared" si="34"/>
        <v>229.45052526827567</v>
      </c>
      <c r="Z123" s="91">
        <f t="shared" si="34"/>
        <v>243.69744167854572</v>
      </c>
    </row>
    <row r="124" spans="1:26" ht="15" hidden="1" customHeight="1" outlineLevel="1" x14ac:dyDescent="0.3">
      <c r="A124" s="89" t="s">
        <v>503</v>
      </c>
      <c r="B124" s="90">
        <f>-$I$85</f>
        <v>-600000000</v>
      </c>
      <c r="C124" s="90">
        <f t="shared" ref="C124:Z124" si="35">C123*($B$85-$C$85)-C122*$G$85-$H$85</f>
        <v>-187275184</v>
      </c>
      <c r="D124" s="90">
        <f t="shared" si="35"/>
        <v>-161206743.92000002</v>
      </c>
      <c r="E124" s="90">
        <f t="shared" si="35"/>
        <v>-135069330.80360001</v>
      </c>
      <c r="F124" s="90">
        <f t="shared" si="35"/>
        <v>-108803945.79543799</v>
      </c>
      <c r="G124" s="90">
        <f t="shared" si="35"/>
        <v>-82351139.856543303</v>
      </c>
      <c r="H124" s="90">
        <f t="shared" si="35"/>
        <v>-55650878.765993863</v>
      </c>
      <c r="I124" s="90">
        <f t="shared" si="35"/>
        <v>-28642406.434668899</v>
      </c>
      <c r="J124" s="90">
        <f t="shared" si="35"/>
        <v>-1264106.2189107835</v>
      </c>
      <c r="K124" s="90">
        <f t="shared" si="35"/>
        <v>26546640.083448112</v>
      </c>
      <c r="L124" s="90">
        <f t="shared" si="35"/>
        <v>54853595.878326237</v>
      </c>
      <c r="M124" s="90">
        <f t="shared" si="35"/>
        <v>83721816.392366529</v>
      </c>
      <c r="N124" s="90">
        <f t="shared" si="35"/>
        <v>113217798.59970325</v>
      </c>
      <c r="O124" s="90">
        <f t="shared" si="35"/>
        <v>143409634.80495954</v>
      </c>
      <c r="P124" s="90">
        <f t="shared" si="35"/>
        <v>174367170.23809135</v>
      </c>
      <c r="Q124" s="90">
        <f t="shared" si="35"/>
        <v>206162165.02670002</v>
      </c>
      <c r="R124" s="90">
        <f t="shared" si="35"/>
        <v>238868460.9222874</v>
      </c>
      <c r="S124" s="90">
        <f t="shared" si="35"/>
        <v>272562153.16866291</v>
      </c>
      <c r="T124" s="90">
        <f t="shared" si="35"/>
        <v>307321767.91334534</v>
      </c>
      <c r="U124" s="90">
        <f t="shared" si="35"/>
        <v>343228445.57638067</v>
      </c>
      <c r="V124" s="90">
        <f t="shared" si="35"/>
        <v>380366130.60553634</v>
      </c>
      <c r="W124" s="90">
        <f t="shared" si="35"/>
        <v>418821768.06238461</v>
      </c>
      <c r="X124" s="90">
        <f t="shared" si="35"/>
        <v>458685507.50037932</v>
      </c>
      <c r="Y124" s="90">
        <f t="shared" si="35"/>
        <v>500050914.61370468</v>
      </c>
      <c r="Z124" s="90">
        <f t="shared" si="35"/>
        <v>543015191.15447223</v>
      </c>
    </row>
    <row r="125" spans="1:26" ht="15" hidden="1" customHeight="1" outlineLevel="1" x14ac:dyDescent="0.3">
      <c r="A125" s="89" t="s">
        <v>504</v>
      </c>
      <c r="B125" s="90">
        <f>$J$85+B124</f>
        <v>2400000000</v>
      </c>
      <c r="C125" s="90">
        <f t="shared" ref="C125:Z125" si="36">B125+C124</f>
        <v>2212724816</v>
      </c>
      <c r="D125" s="90">
        <f t="shared" si="36"/>
        <v>2051518072.0799999</v>
      </c>
      <c r="E125" s="90">
        <f t="shared" si="36"/>
        <v>1916448741.2763999</v>
      </c>
      <c r="F125" s="90">
        <f t="shared" si="36"/>
        <v>1807644795.4809618</v>
      </c>
      <c r="G125" s="90">
        <f t="shared" si="36"/>
        <v>1725293655.6244185</v>
      </c>
      <c r="H125" s="90">
        <f t="shared" si="36"/>
        <v>1669642776.8584247</v>
      </c>
      <c r="I125" s="90">
        <f t="shared" si="36"/>
        <v>1641000370.4237556</v>
      </c>
      <c r="J125" s="90">
        <f t="shared" si="36"/>
        <v>1639736264.204845</v>
      </c>
      <c r="K125" s="90">
        <f t="shared" si="36"/>
        <v>1666282904.2882931</v>
      </c>
      <c r="L125" s="90">
        <f t="shared" si="36"/>
        <v>1721136500.1666193</v>
      </c>
      <c r="M125" s="90">
        <f t="shared" si="36"/>
        <v>1804858316.5589857</v>
      </c>
      <c r="N125" s="90">
        <f t="shared" si="36"/>
        <v>1918076115.158689</v>
      </c>
      <c r="O125" s="90">
        <f t="shared" si="36"/>
        <v>2061485749.9636486</v>
      </c>
      <c r="P125" s="90">
        <f t="shared" si="36"/>
        <v>2235852920.2017398</v>
      </c>
      <c r="Q125" s="90">
        <f t="shared" si="36"/>
        <v>2442015085.2284398</v>
      </c>
      <c r="R125" s="90">
        <f t="shared" si="36"/>
        <v>2680883546.1507273</v>
      </c>
      <c r="S125" s="90">
        <f t="shared" si="36"/>
        <v>2953445699.3193903</v>
      </c>
      <c r="T125" s="90">
        <f t="shared" si="36"/>
        <v>3260767467.2327356</v>
      </c>
      <c r="U125" s="90">
        <f t="shared" si="36"/>
        <v>3603995912.8091164</v>
      </c>
      <c r="V125" s="90">
        <f t="shared" si="36"/>
        <v>3984362043.4146528</v>
      </c>
      <c r="W125" s="90">
        <f t="shared" si="36"/>
        <v>4403183811.4770374</v>
      </c>
      <c r="X125" s="90">
        <f t="shared" si="36"/>
        <v>4861869318.977417</v>
      </c>
      <c r="Y125" s="90">
        <f t="shared" si="36"/>
        <v>5361920233.5911217</v>
      </c>
      <c r="Z125" s="90">
        <f t="shared" si="36"/>
        <v>5904935424.745594</v>
      </c>
    </row>
    <row r="126" spans="1:26" ht="15" hidden="1" customHeight="1" outlineLevel="1" x14ac:dyDescent="0.3">
      <c r="A126" s="89" t="s">
        <v>505</v>
      </c>
      <c r="B126" s="90">
        <f>B124</f>
        <v>-600000000</v>
      </c>
      <c r="C126" s="90">
        <f t="shared" ref="C126:Z126" si="37">B126+C124</f>
        <v>-787275184</v>
      </c>
      <c r="D126" s="90">
        <f t="shared" si="37"/>
        <v>-948481927.92000008</v>
      </c>
      <c r="E126" s="90">
        <f t="shared" si="37"/>
        <v>-1083551258.7236001</v>
      </c>
      <c r="F126" s="90">
        <f t="shared" si="37"/>
        <v>-1192355204.5190382</v>
      </c>
      <c r="G126" s="90">
        <f t="shared" si="37"/>
        <v>-1274706344.3755815</v>
      </c>
      <c r="H126" s="90">
        <f t="shared" si="37"/>
        <v>-1330357223.1415753</v>
      </c>
      <c r="I126" s="90">
        <f t="shared" si="37"/>
        <v>-1358999629.5762444</v>
      </c>
      <c r="J126" s="90">
        <f t="shared" si="37"/>
        <v>-1360263735.795155</v>
      </c>
      <c r="K126" s="90">
        <f t="shared" si="37"/>
        <v>-1333717095.7117069</v>
      </c>
      <c r="L126" s="90">
        <f t="shared" si="37"/>
        <v>-1278863499.8333807</v>
      </c>
      <c r="M126" s="90">
        <f t="shared" si="37"/>
        <v>-1195141683.4410143</v>
      </c>
      <c r="N126" s="90">
        <f t="shared" si="37"/>
        <v>-1081923884.841311</v>
      </c>
      <c r="O126" s="90">
        <f t="shared" si="37"/>
        <v>-938514250.03635144</v>
      </c>
      <c r="P126" s="90">
        <f t="shared" si="37"/>
        <v>-764147079.79826009</v>
      </c>
      <c r="Q126" s="90">
        <f t="shared" si="37"/>
        <v>-557984914.77156007</v>
      </c>
      <c r="R126" s="90">
        <f t="shared" si="37"/>
        <v>-319116453.84927267</v>
      </c>
      <c r="S126" s="90">
        <f t="shared" si="37"/>
        <v>-46554300.680609763</v>
      </c>
      <c r="T126" s="90">
        <f t="shared" si="37"/>
        <v>260767467.23273557</v>
      </c>
      <c r="U126" s="90">
        <f t="shared" si="37"/>
        <v>603995912.80911624</v>
      </c>
      <c r="V126" s="90">
        <f t="shared" si="37"/>
        <v>984362043.41465259</v>
      </c>
      <c r="W126" s="90">
        <f t="shared" si="37"/>
        <v>1403183811.4770372</v>
      </c>
      <c r="X126" s="90">
        <f t="shared" si="37"/>
        <v>1861869318.9774165</v>
      </c>
      <c r="Y126" s="90">
        <f t="shared" si="37"/>
        <v>2361920233.5911212</v>
      </c>
      <c r="Z126" s="90">
        <f t="shared" si="37"/>
        <v>2904935424.7455935</v>
      </c>
    </row>
    <row r="127" spans="1:26" ht="15" hidden="1" customHeight="1" outlineLevel="1" x14ac:dyDescent="0.3"/>
    <row r="128" spans="1:26" ht="15" hidden="1" customHeight="1" outlineLevel="1" x14ac:dyDescent="0.3">
      <c r="A128" s="89" t="s">
        <v>506</v>
      </c>
      <c r="C128" s="91">
        <f>$D$86*(1+$E$86)^0</f>
        <v>10</v>
      </c>
      <c r="D128" s="91">
        <f>$D$86*(1+$E$86)^1</f>
        <v>10.4</v>
      </c>
      <c r="E128" s="91">
        <f>$D$86*(1+$E$86)^2</f>
        <v>10.816000000000001</v>
      </c>
      <c r="F128" s="91">
        <f>$D$86*(1+$E$86)^3</f>
        <v>11.248640000000002</v>
      </c>
      <c r="G128" s="91">
        <f>$D$86*(1+$E$86)^4</f>
        <v>11.698585600000001</v>
      </c>
      <c r="H128" s="91">
        <f>$D$86*(1+$E$86)^5</f>
        <v>12.166529024000003</v>
      </c>
      <c r="I128" s="91">
        <f>$D$86*(1+$E$86)^6</f>
        <v>12.653190184960003</v>
      </c>
      <c r="J128" s="91">
        <f>$D$86*(1+$E$86)^7</f>
        <v>13.159317792358403</v>
      </c>
      <c r="K128" s="91">
        <f>$D$86*(1+$E$86)^8</f>
        <v>13.68569050405274</v>
      </c>
      <c r="L128" s="91">
        <f>$D$86*(1+$E$86)^9</f>
        <v>14.233118124214851</v>
      </c>
      <c r="M128" s="91">
        <f>$D$86*(1+$E$86)^10</f>
        <v>14.802442849183446</v>
      </c>
      <c r="N128" s="91">
        <f>$D$86*(1+$E$86)^11</f>
        <v>15.394540563150782</v>
      </c>
      <c r="O128" s="91">
        <f>$D$86*(1+$E$86)^12</f>
        <v>16.010322185676817</v>
      </c>
      <c r="P128" s="91">
        <f>$D$86*(1+$E$86)^13</f>
        <v>16.650735073103892</v>
      </c>
      <c r="Q128" s="91">
        <f>$D$86*(1+$E$86)^14</f>
        <v>17.316764476028045</v>
      </c>
      <c r="R128" s="91">
        <f>$D$86*(1+$E$86)^15</f>
        <v>18.009435055069169</v>
      </c>
      <c r="S128" s="91">
        <f>$D$86*(1+$E$86)^16</f>
        <v>18.729812457271937</v>
      </c>
      <c r="T128" s="91">
        <f>$D$86*(1+$E$86)^17</f>
        <v>19.479004955562814</v>
      </c>
      <c r="U128" s="91">
        <f>$D$86*(1+$E$86)^18</f>
        <v>20.258165153785331</v>
      </c>
      <c r="V128" s="91">
        <f>$D$86*(1+$E$86)^19</f>
        <v>21.068491759936741</v>
      </c>
      <c r="W128" s="91">
        <f>$D$86*(1+$E$86)^20</f>
        <v>21.911231430334212</v>
      </c>
      <c r="X128" s="91">
        <f>$D$86*(1+$E$86)^21</f>
        <v>22.787680687547585</v>
      </c>
      <c r="Y128" s="91">
        <f>$D$86*(1+$E$86)^22</f>
        <v>23.699187915049489</v>
      </c>
      <c r="Z128" s="91">
        <f>$D$86*(1+$E$86)^23</f>
        <v>24.647155431651466</v>
      </c>
    </row>
    <row r="129" spans="1:26" ht="15" hidden="1" customHeight="1" outlineLevel="1" x14ac:dyDescent="0.3">
      <c r="A129" s="89" t="s">
        <v>507</v>
      </c>
      <c r="B129" s="89">
        <v>0</v>
      </c>
      <c r="C129" s="91">
        <f t="shared" ref="C129:Z129" si="38">B129*(1-$F$86)+C128</f>
        <v>10</v>
      </c>
      <c r="D129" s="91">
        <f t="shared" si="38"/>
        <v>19.95</v>
      </c>
      <c r="E129" s="91">
        <f t="shared" si="38"/>
        <v>29.868249999999996</v>
      </c>
      <c r="F129" s="91">
        <f t="shared" si="38"/>
        <v>39.772818749999999</v>
      </c>
      <c r="G129" s="91">
        <f t="shared" si="38"/>
        <v>49.681627506249995</v>
      </c>
      <c r="H129" s="91">
        <f t="shared" si="38"/>
        <v>59.612483292468752</v>
      </c>
      <c r="I129" s="91">
        <f t="shared" si="38"/>
        <v>69.583111729267657</v>
      </c>
      <c r="J129" s="91">
        <f t="shared" si="38"/>
        <v>79.611189493809022</v>
      </c>
      <c r="K129" s="91">
        <f t="shared" si="38"/>
        <v>89.71437647064036</v>
      </c>
      <c r="L129" s="91">
        <f t="shared" si="38"/>
        <v>99.910347653676396</v>
      </c>
      <c r="M129" s="91">
        <f t="shared" si="38"/>
        <v>110.21682485844441</v>
      </c>
      <c r="N129" s="91">
        <f t="shared" si="38"/>
        <v>120.65160830296519</v>
      </c>
      <c r="O129" s="91">
        <f t="shared" si="38"/>
        <v>131.23260811500856</v>
      </c>
      <c r="P129" s="91">
        <f t="shared" si="38"/>
        <v>141.97787582293705</v>
      </c>
      <c r="Q129" s="91">
        <f t="shared" si="38"/>
        <v>152.90563588693294</v>
      </c>
      <c r="R129" s="91">
        <f t="shared" si="38"/>
        <v>164.03431732709012</v>
      </c>
      <c r="S129" s="91">
        <f t="shared" si="38"/>
        <v>175.382585504643</v>
      </c>
      <c r="T129" s="91">
        <f t="shared" si="38"/>
        <v>186.96937411249689</v>
      </c>
      <c r="U129" s="91">
        <f t="shared" si="38"/>
        <v>198.81391743121986</v>
      </c>
      <c r="V129" s="91">
        <f t="shared" si="38"/>
        <v>210.93578290675168</v>
      </c>
      <c r="W129" s="91">
        <f t="shared" si="38"/>
        <v>223.35490410628205</v>
      </c>
      <c r="X129" s="91">
        <f t="shared" si="38"/>
        <v>236.09161410904693</v>
      </c>
      <c r="Y129" s="91">
        <f t="shared" si="38"/>
        <v>249.16667938918931</v>
      </c>
      <c r="Z129" s="91">
        <f t="shared" si="38"/>
        <v>262.60133424832725</v>
      </c>
    </row>
    <row r="130" spans="1:26" ht="15" hidden="1" customHeight="1" outlineLevel="1" x14ac:dyDescent="0.3">
      <c r="A130" s="89" t="s">
        <v>508</v>
      </c>
      <c r="B130" s="90">
        <f>-$I$86</f>
        <v>-600000000</v>
      </c>
      <c r="C130" s="90">
        <f t="shared" ref="C130:Z130" si="39">C129*($B$86-$C$86)-C128*$G$86-$H$86</f>
        <v>-194093980</v>
      </c>
      <c r="D130" s="90">
        <f t="shared" si="39"/>
        <v>-161167490.10000002</v>
      </c>
      <c r="E130" s="90">
        <f t="shared" si="39"/>
        <v>-128467001.81350002</v>
      </c>
      <c r="F130" s="90">
        <f t="shared" si="39"/>
        <v>-95932117.45061253</v>
      </c>
      <c r="G130" s="90">
        <f t="shared" si="39"/>
        <v>-63503148.112803742</v>
      </c>
      <c r="H130" s="90">
        <f t="shared" si="39"/>
        <v>-31121001.433095127</v>
      </c>
      <c r="I130" s="90">
        <f t="shared" si="39"/>
        <v>1272928.8466118872</v>
      </c>
      <c r="J130" s="90">
        <f t="shared" si="39"/>
        <v>33736871.67234084</v>
      </c>
      <c r="K130" s="90">
        <f t="shared" si="39"/>
        <v>66328786.055865049</v>
      </c>
      <c r="L130" s="90">
        <f t="shared" si="39"/>
        <v>99106467.236481786</v>
      </c>
      <c r="M130" s="90">
        <f t="shared" si="39"/>
        <v>132127651.82609606</v>
      </c>
      <c r="N130" s="90">
        <f t="shared" si="39"/>
        <v>165450122.13378793</v>
      </c>
      <c r="O130" s="90">
        <f t="shared" si="39"/>
        <v>199131809.8632282</v>
      </c>
      <c r="P130" s="90">
        <f t="shared" si="39"/>
        <v>233230899.37386215</v>
      </c>
      <c r="Q130" s="90">
        <f t="shared" si="39"/>
        <v>267805930.69469684</v>
      </c>
      <c r="R130" s="90">
        <f t="shared" si="39"/>
        <v>302915902.47780031</v>
      </c>
      <c r="S130" s="90">
        <f t="shared" si="39"/>
        <v>338620375.07723868</v>
      </c>
      <c r="T130" s="90">
        <f t="shared" si="39"/>
        <v>374979573.93813992</v>
      </c>
      <c r="U130" s="90">
        <f t="shared" si="39"/>
        <v>412054493.47987556</v>
      </c>
      <c r="V130" s="90">
        <f t="shared" si="39"/>
        <v>449907001.65699124</v>
      </c>
      <c r="W130" s="90">
        <f t="shared" si="39"/>
        <v>488599945.3814851</v>
      </c>
      <c r="X130" s="90">
        <f t="shared" si="39"/>
        <v>528197256.99033904</v>
      </c>
      <c r="Y130" s="90">
        <f t="shared" si="39"/>
        <v>568764061.94283557</v>
      </c>
      <c r="Z130" s="90">
        <f t="shared" si="39"/>
        <v>610366787.93315196</v>
      </c>
    </row>
    <row r="131" spans="1:26" ht="15" hidden="1" customHeight="1" outlineLevel="1" x14ac:dyDescent="0.3">
      <c r="A131" s="89" t="s">
        <v>509</v>
      </c>
      <c r="B131" s="90">
        <f>$J$86+B130</f>
        <v>2400000000</v>
      </c>
      <c r="C131" s="90">
        <f t="shared" ref="C131:Z131" si="40">B131+C130</f>
        <v>2205906020</v>
      </c>
      <c r="D131" s="90">
        <f t="shared" si="40"/>
        <v>2044738529.9000001</v>
      </c>
      <c r="E131" s="90">
        <f t="shared" si="40"/>
        <v>1916271528.0865002</v>
      </c>
      <c r="F131" s="90">
        <f t="shared" si="40"/>
        <v>1820339410.6358876</v>
      </c>
      <c r="G131" s="90">
        <f t="shared" si="40"/>
        <v>1756836262.5230839</v>
      </c>
      <c r="H131" s="90">
        <f t="shared" si="40"/>
        <v>1725715261.0899887</v>
      </c>
      <c r="I131" s="90">
        <f t="shared" si="40"/>
        <v>1726988189.9366007</v>
      </c>
      <c r="J131" s="90">
        <f t="shared" si="40"/>
        <v>1760725061.6089416</v>
      </c>
      <c r="K131" s="90">
        <f t="shared" si="40"/>
        <v>1827053847.6648066</v>
      </c>
      <c r="L131" s="90">
        <f t="shared" si="40"/>
        <v>1926160314.9012885</v>
      </c>
      <c r="M131" s="90">
        <f t="shared" si="40"/>
        <v>2058287966.7273846</v>
      </c>
      <c r="N131" s="90">
        <f t="shared" si="40"/>
        <v>2223738088.8611727</v>
      </c>
      <c r="O131" s="90">
        <f t="shared" si="40"/>
        <v>2422869898.724401</v>
      </c>
      <c r="P131" s="90">
        <f t="shared" si="40"/>
        <v>2656100798.0982633</v>
      </c>
      <c r="Q131" s="90">
        <f t="shared" si="40"/>
        <v>2923906728.7929602</v>
      </c>
      <c r="R131" s="90">
        <f t="shared" si="40"/>
        <v>3226822631.2707605</v>
      </c>
      <c r="S131" s="90">
        <f t="shared" si="40"/>
        <v>3565443006.3479991</v>
      </c>
      <c r="T131" s="90">
        <f t="shared" si="40"/>
        <v>3940422580.286139</v>
      </c>
      <c r="U131" s="90">
        <f t="shared" si="40"/>
        <v>4352477073.7660141</v>
      </c>
      <c r="V131" s="90">
        <f t="shared" si="40"/>
        <v>4802384075.4230051</v>
      </c>
      <c r="W131" s="90">
        <f t="shared" si="40"/>
        <v>5290984020.8044901</v>
      </c>
      <c r="X131" s="90">
        <f t="shared" si="40"/>
        <v>5819181277.7948294</v>
      </c>
      <c r="Y131" s="90">
        <f t="shared" si="40"/>
        <v>6387945339.7376652</v>
      </c>
      <c r="Z131" s="90">
        <f t="shared" si="40"/>
        <v>6998312127.6708174</v>
      </c>
    </row>
    <row r="132" spans="1:26" ht="15" hidden="1" customHeight="1" outlineLevel="1" x14ac:dyDescent="0.3">
      <c r="A132" s="89" t="s">
        <v>510</v>
      </c>
      <c r="B132" s="90">
        <f>B130</f>
        <v>-600000000</v>
      </c>
      <c r="C132" s="90">
        <f t="shared" ref="C132:Z132" si="41">B132+C130</f>
        <v>-794093980</v>
      </c>
      <c r="D132" s="90">
        <f t="shared" si="41"/>
        <v>-955261470.10000002</v>
      </c>
      <c r="E132" s="90">
        <f t="shared" si="41"/>
        <v>-1083728471.9135001</v>
      </c>
      <c r="F132" s="90">
        <f t="shared" si="41"/>
        <v>-1179660589.3641126</v>
      </c>
      <c r="G132" s="90">
        <f t="shared" si="41"/>
        <v>-1243163737.4769163</v>
      </c>
      <c r="H132" s="90">
        <f t="shared" si="41"/>
        <v>-1274284738.9100115</v>
      </c>
      <c r="I132" s="90">
        <f t="shared" si="41"/>
        <v>-1273011810.0633996</v>
      </c>
      <c r="J132" s="90">
        <f t="shared" si="41"/>
        <v>-1239274938.3910587</v>
      </c>
      <c r="K132" s="90">
        <f t="shared" si="41"/>
        <v>-1172946152.3351936</v>
      </c>
      <c r="L132" s="90">
        <f t="shared" si="41"/>
        <v>-1073839685.098712</v>
      </c>
      <c r="M132" s="90">
        <f t="shared" si="41"/>
        <v>-941712033.27261591</v>
      </c>
      <c r="N132" s="90">
        <f t="shared" si="41"/>
        <v>-776261911.13882804</v>
      </c>
      <c r="O132" s="90">
        <f t="shared" si="41"/>
        <v>-577130101.27559984</v>
      </c>
      <c r="P132" s="90">
        <f t="shared" si="41"/>
        <v>-343899201.90173769</v>
      </c>
      <c r="Q132" s="90">
        <f t="shared" si="41"/>
        <v>-76093271.207040846</v>
      </c>
      <c r="R132" s="90">
        <f t="shared" si="41"/>
        <v>226822631.27075946</v>
      </c>
      <c r="S132" s="90">
        <f t="shared" si="41"/>
        <v>565443006.34799814</v>
      </c>
      <c r="T132" s="90">
        <f t="shared" si="41"/>
        <v>940422580.28613806</v>
      </c>
      <c r="U132" s="90">
        <f t="shared" si="41"/>
        <v>1352477073.7660136</v>
      </c>
      <c r="V132" s="90">
        <f t="shared" si="41"/>
        <v>1802384075.4230049</v>
      </c>
      <c r="W132" s="90">
        <f t="shared" si="41"/>
        <v>2290984020.8044901</v>
      </c>
      <c r="X132" s="90">
        <f t="shared" si="41"/>
        <v>2819181277.7948294</v>
      </c>
      <c r="Y132" s="90">
        <f t="shared" si="41"/>
        <v>3387945339.7376652</v>
      </c>
      <c r="Z132" s="90">
        <f t="shared" si="41"/>
        <v>3998312127.6708174</v>
      </c>
    </row>
    <row r="133" spans="1:26" ht="15" hidden="1" customHeight="1" outlineLevel="1" x14ac:dyDescent="0.3"/>
    <row r="134" spans="1:26" ht="15" hidden="1" customHeight="1" outlineLevel="1" x14ac:dyDescent="0.3">
      <c r="A134" s="89" t="s">
        <v>511</v>
      </c>
      <c r="C134" s="91">
        <f>$D$87*(1+$E$87)^0</f>
        <v>10</v>
      </c>
      <c r="D134" s="91">
        <f>$D$87*(1+$E$87)^1</f>
        <v>10.5</v>
      </c>
      <c r="E134" s="91">
        <f>$D$87*(1+$E$87)^2</f>
        <v>11.025</v>
      </c>
      <c r="F134" s="91">
        <f>$D$87*(1+$E$87)^3</f>
        <v>11.576250000000002</v>
      </c>
      <c r="G134" s="91">
        <f>$D$87*(1+$E$87)^4</f>
        <v>12.1550625</v>
      </c>
      <c r="H134" s="91">
        <f>$D$87*(1+$E$87)^5</f>
        <v>12.762815625000002</v>
      </c>
      <c r="I134" s="91">
        <f>$D$87*(1+$E$87)^6</f>
        <v>13.40095640625</v>
      </c>
      <c r="J134" s="91">
        <f>$D$87*(1+$E$87)^7</f>
        <v>14.071004226562502</v>
      </c>
      <c r="K134" s="91">
        <f>$D$87*(1+$E$87)^8</f>
        <v>14.774554437890625</v>
      </c>
      <c r="L134" s="91">
        <f>$D$87*(1+$E$87)^9</f>
        <v>15.513282159785158</v>
      </c>
      <c r="M134" s="91">
        <f>$D$87*(1+$E$87)^10</f>
        <v>16.288946267774417</v>
      </c>
      <c r="N134" s="91">
        <f>$D$87*(1+$E$87)^11</f>
        <v>17.103393581163139</v>
      </c>
      <c r="O134" s="91">
        <f>$D$87*(1+$E$87)^12</f>
        <v>17.958563260221293</v>
      </c>
      <c r="P134" s="91">
        <f>$D$87*(1+$E$87)^13</f>
        <v>18.856491423232359</v>
      </c>
      <c r="Q134" s="91">
        <f>$D$87*(1+$E$87)^14</f>
        <v>19.799315994393972</v>
      </c>
      <c r="R134" s="91">
        <f>$D$87*(1+$E$87)^15</f>
        <v>20.789281794113677</v>
      </c>
      <c r="S134" s="91">
        <f>$D$87*(1+$E$87)^16</f>
        <v>21.828745883819359</v>
      </c>
      <c r="T134" s="91">
        <f>$D$87*(1+$E$87)^17</f>
        <v>22.920183178010333</v>
      </c>
      <c r="U134" s="91">
        <f>$D$87*(1+$E$87)^18</f>
        <v>24.066192336910849</v>
      </c>
      <c r="V134" s="91">
        <f>$D$87*(1+$E$87)^19</f>
        <v>25.269501953756389</v>
      </c>
      <c r="W134" s="91">
        <f>$D$87*(1+$E$87)^20</f>
        <v>26.53297705144421</v>
      </c>
      <c r="X134" s="91">
        <f>$D$87*(1+$E$87)^21</f>
        <v>27.859625904016418</v>
      </c>
      <c r="Y134" s="91">
        <f>$D$87*(1+$E$87)^22</f>
        <v>29.252607199217238</v>
      </c>
      <c r="Z134" s="91">
        <f>$D$87*(1+$E$87)^23</f>
        <v>30.715237559178107</v>
      </c>
    </row>
    <row r="135" spans="1:26" ht="15" hidden="1" customHeight="1" outlineLevel="1" x14ac:dyDescent="0.3">
      <c r="A135" s="89" t="s">
        <v>512</v>
      </c>
      <c r="B135" s="89">
        <v>0</v>
      </c>
      <c r="C135" s="91">
        <f t="shared" ref="C135:Z135" si="42">B135*(1-$F$87)+C134</f>
        <v>10</v>
      </c>
      <c r="D135" s="91">
        <f t="shared" si="42"/>
        <v>20.049999999999997</v>
      </c>
      <c r="E135" s="91">
        <f t="shared" si="42"/>
        <v>30.172749999999994</v>
      </c>
      <c r="F135" s="91">
        <f t="shared" si="42"/>
        <v>40.391226249999995</v>
      </c>
      <c r="G135" s="91">
        <f t="shared" si="42"/>
        <v>50.728683568749993</v>
      </c>
      <c r="H135" s="91">
        <f t="shared" si="42"/>
        <v>61.208708433156247</v>
      </c>
      <c r="I135" s="91">
        <f t="shared" si="42"/>
        <v>71.855272959914217</v>
      </c>
      <c r="J135" s="91">
        <f t="shared" si="42"/>
        <v>82.692789903280584</v>
      </c>
      <c r="K135" s="91">
        <f t="shared" si="42"/>
        <v>93.746168795523587</v>
      </c>
      <c r="L135" s="91">
        <f t="shared" si="42"/>
        <v>105.04087335951019</v>
      </c>
      <c r="M135" s="91">
        <f t="shared" si="42"/>
        <v>116.60298032610665</v>
      </c>
      <c r="N135" s="91">
        <f t="shared" si="42"/>
        <v>128.45923979259499</v>
      </c>
      <c r="O135" s="91">
        <f t="shared" si="42"/>
        <v>140.63713726214951</v>
      </c>
      <c r="P135" s="91">
        <f t="shared" si="42"/>
        <v>153.16495750858513</v>
      </c>
      <c r="Q135" s="91">
        <f t="shared" si="42"/>
        <v>166.07185041509277</v>
      </c>
      <c r="R135" s="91">
        <f t="shared" si="42"/>
        <v>179.38789894052724</v>
      </c>
      <c r="S135" s="91">
        <f t="shared" si="42"/>
        <v>193.14418937202285</v>
      </c>
      <c r="T135" s="91">
        <f t="shared" si="42"/>
        <v>207.37288402829216</v>
      </c>
      <c r="U135" s="91">
        <f t="shared" si="42"/>
        <v>222.10729658392987</v>
      </c>
      <c r="V135" s="91">
        <f t="shared" si="42"/>
        <v>237.38197019140941</v>
      </c>
      <c r="W135" s="91">
        <f t="shared" si="42"/>
        <v>253.2327585842402</v>
      </c>
      <c r="X135" s="91">
        <f t="shared" si="42"/>
        <v>269.69691035196581</v>
      </c>
      <c r="Y135" s="91">
        <f t="shared" si="42"/>
        <v>286.81315658534459</v>
      </c>
      <c r="Z135" s="91">
        <f t="shared" si="42"/>
        <v>304.62180209818217</v>
      </c>
    </row>
    <row r="136" spans="1:26" ht="15" hidden="1" customHeight="1" outlineLevel="1" x14ac:dyDescent="0.3">
      <c r="A136" s="89" t="s">
        <v>513</v>
      </c>
      <c r="B136" s="90">
        <f>-$I$87</f>
        <v>-600000000</v>
      </c>
      <c r="C136" s="90">
        <f t="shared" ref="C136:Z136" si="43">C135*($B$87-$C$87)-C134*$G$87-$H$87</f>
        <v>-226093980</v>
      </c>
      <c r="D136" s="90">
        <f t="shared" si="43"/>
        <v>-193508429.90000001</v>
      </c>
      <c r="E136" s="90">
        <f t="shared" si="43"/>
        <v>-160836663.50450003</v>
      </c>
      <c r="F136" s="90">
        <f t="shared" si="43"/>
        <v>-128004932.24429752</v>
      </c>
      <c r="G136" s="90">
        <f t="shared" si="43"/>
        <v>-94938924.820679128</v>
      </c>
      <c r="H136" s="90">
        <f t="shared" si="43"/>
        <v>-61563598.457492337</v>
      </c>
      <c r="I136" s="90">
        <f t="shared" si="43"/>
        <v>-27803008.043336093</v>
      </c>
      <c r="J136" s="90">
        <f t="shared" si="43"/>
        <v>6419867.2263615727</v>
      </c>
      <c r="K136" s="90">
        <f t="shared" si="43"/>
        <v>41183300.104310215</v>
      </c>
      <c r="L136" s="90">
        <f t="shared" si="43"/>
        <v>76566994.847907901</v>
      </c>
      <c r="M136" s="90">
        <f t="shared" si="43"/>
        <v>112652270.49045825</v>
      </c>
      <c r="N136" s="90">
        <f t="shared" si="43"/>
        <v>149522248.24962914</v>
      </c>
      <c r="O136" s="90">
        <f t="shared" si="43"/>
        <v>187262043.50619948</v>
      </c>
      <c r="P136" s="90">
        <f t="shared" si="43"/>
        <v>225958962.79761428</v>
      </c>
      <c r="Q136" s="90">
        <f t="shared" si="43"/>
        <v>265702706.28337508</v>
      </c>
      <c r="R136" s="90">
        <f t="shared" si="43"/>
        <v>306585576.15285927</v>
      </c>
      <c r="S136" s="90">
        <f t="shared" si="43"/>
        <v>348702691.46082842</v>
      </c>
      <c r="T136" s="90">
        <f t="shared" si="43"/>
        <v>392152209.89168155</v>
      </c>
      <c r="U136" s="90">
        <f t="shared" si="43"/>
        <v>437035556.97047579</v>
      </c>
      <c r="V136" s="90">
        <f t="shared" si="43"/>
        <v>483457663.25692034</v>
      </c>
      <c r="W136" s="90">
        <f t="shared" si="43"/>
        <v>531527210.07798064</v>
      </c>
      <c r="X136" s="90">
        <f t="shared" si="43"/>
        <v>581356884.37547421</v>
      </c>
      <c r="Y136" s="90">
        <f t="shared" si="43"/>
        <v>633063643.26713085</v>
      </c>
      <c r="Z136" s="90">
        <f t="shared" si="43"/>
        <v>686768988.9430902</v>
      </c>
    </row>
    <row r="137" spans="1:26" ht="15" hidden="1" customHeight="1" outlineLevel="1" x14ac:dyDescent="0.3">
      <c r="A137" s="89" t="s">
        <v>514</v>
      </c>
      <c r="B137" s="90">
        <f>$J$87+B136</f>
        <v>2400000000</v>
      </c>
      <c r="C137" s="90">
        <f t="shared" ref="C137:Z137" si="44">B137+C136</f>
        <v>2173906020</v>
      </c>
      <c r="D137" s="90">
        <f t="shared" si="44"/>
        <v>1980397590.0999999</v>
      </c>
      <c r="E137" s="90">
        <f t="shared" si="44"/>
        <v>1819560926.5955</v>
      </c>
      <c r="F137" s="90">
        <f t="shared" si="44"/>
        <v>1691555994.3512025</v>
      </c>
      <c r="G137" s="90">
        <f t="shared" si="44"/>
        <v>1596617069.5305233</v>
      </c>
      <c r="H137" s="90">
        <f t="shared" si="44"/>
        <v>1535053471.0730309</v>
      </c>
      <c r="I137" s="90">
        <f t="shared" si="44"/>
        <v>1507250463.0296948</v>
      </c>
      <c r="J137" s="90">
        <f t="shared" si="44"/>
        <v>1513670330.2560563</v>
      </c>
      <c r="K137" s="90">
        <f t="shared" si="44"/>
        <v>1554853630.3603666</v>
      </c>
      <c r="L137" s="90">
        <f t="shared" si="44"/>
        <v>1631420625.2082744</v>
      </c>
      <c r="M137" s="90">
        <f t="shared" si="44"/>
        <v>1744072895.6987326</v>
      </c>
      <c r="N137" s="90">
        <f t="shared" si="44"/>
        <v>1893595143.9483619</v>
      </c>
      <c r="O137" s="90">
        <f t="shared" si="44"/>
        <v>2080857187.4545612</v>
      </c>
      <c r="P137" s="90">
        <f t="shared" si="44"/>
        <v>2306816150.2521753</v>
      </c>
      <c r="Q137" s="90">
        <f t="shared" si="44"/>
        <v>2572518856.5355506</v>
      </c>
      <c r="R137" s="90">
        <f t="shared" si="44"/>
        <v>2879104432.6884098</v>
      </c>
      <c r="S137" s="90">
        <f t="shared" si="44"/>
        <v>3227807124.1492381</v>
      </c>
      <c r="T137" s="90">
        <f t="shared" si="44"/>
        <v>3619959334.0409198</v>
      </c>
      <c r="U137" s="90">
        <f t="shared" si="44"/>
        <v>4056994891.0113955</v>
      </c>
      <c r="V137" s="90">
        <f t="shared" si="44"/>
        <v>4540452554.2683163</v>
      </c>
      <c r="W137" s="90">
        <f t="shared" si="44"/>
        <v>5071979764.3462973</v>
      </c>
      <c r="X137" s="90">
        <f t="shared" si="44"/>
        <v>5653336648.7217712</v>
      </c>
      <c r="Y137" s="90">
        <f t="shared" si="44"/>
        <v>6286400291.9889021</v>
      </c>
      <c r="Z137" s="90">
        <f t="shared" si="44"/>
        <v>6973169280.9319925</v>
      </c>
    </row>
    <row r="138" spans="1:26" ht="15" hidden="1" customHeight="1" outlineLevel="1" x14ac:dyDescent="0.3">
      <c r="A138" s="89" t="s">
        <v>515</v>
      </c>
      <c r="B138" s="90">
        <f>B136</f>
        <v>-600000000</v>
      </c>
      <c r="C138" s="90">
        <f t="shared" ref="C138:Z138" si="45">B138+C136</f>
        <v>-826093980</v>
      </c>
      <c r="D138" s="90">
        <f t="shared" si="45"/>
        <v>-1019602409.9</v>
      </c>
      <c r="E138" s="90">
        <f t="shared" si="45"/>
        <v>-1180439073.4045</v>
      </c>
      <c r="F138" s="90">
        <f t="shared" si="45"/>
        <v>-1308444005.6487975</v>
      </c>
      <c r="G138" s="90">
        <f t="shared" si="45"/>
        <v>-1403382930.4694767</v>
      </c>
      <c r="H138" s="90">
        <f t="shared" si="45"/>
        <v>-1464946528.9269691</v>
      </c>
      <c r="I138" s="90">
        <f t="shared" si="45"/>
        <v>-1492749536.9703052</v>
      </c>
      <c r="J138" s="90">
        <f t="shared" si="45"/>
        <v>-1486329669.7439437</v>
      </c>
      <c r="K138" s="90">
        <f t="shared" si="45"/>
        <v>-1445146369.6396334</v>
      </c>
      <c r="L138" s="90">
        <f t="shared" si="45"/>
        <v>-1368579374.7917256</v>
      </c>
      <c r="M138" s="90">
        <f t="shared" si="45"/>
        <v>-1255927104.3012674</v>
      </c>
      <c r="N138" s="90">
        <f t="shared" si="45"/>
        <v>-1106404856.0516381</v>
      </c>
      <c r="O138" s="90">
        <f t="shared" si="45"/>
        <v>-919142812.54543865</v>
      </c>
      <c r="P138" s="90">
        <f t="shared" si="45"/>
        <v>-693183849.74782443</v>
      </c>
      <c r="Q138" s="90">
        <f t="shared" si="45"/>
        <v>-427481143.46444935</v>
      </c>
      <c r="R138" s="90">
        <f t="shared" si="45"/>
        <v>-120895567.31159008</v>
      </c>
      <c r="S138" s="90">
        <f t="shared" si="45"/>
        <v>227807124.14923835</v>
      </c>
      <c r="T138" s="90">
        <f t="shared" si="45"/>
        <v>619959334.0409199</v>
      </c>
      <c r="U138" s="90">
        <f t="shared" si="45"/>
        <v>1056994891.0113957</v>
      </c>
      <c r="V138" s="90">
        <f t="shared" si="45"/>
        <v>1540452554.268316</v>
      </c>
      <c r="W138" s="90">
        <f t="shared" si="45"/>
        <v>2071979764.3462968</v>
      </c>
      <c r="X138" s="90">
        <f t="shared" si="45"/>
        <v>2653336648.7217712</v>
      </c>
      <c r="Y138" s="90">
        <f t="shared" si="45"/>
        <v>3286400291.9889021</v>
      </c>
      <c r="Z138" s="90">
        <f t="shared" si="45"/>
        <v>3973169280.9319925</v>
      </c>
    </row>
    <row r="139" spans="1:26" ht="15" hidden="1" customHeight="1" outlineLevel="1" x14ac:dyDescent="0.3"/>
    <row r="140" spans="1:26" ht="15" hidden="1" customHeight="1" outlineLevel="1" x14ac:dyDescent="0.3">
      <c r="A140" s="89" t="s">
        <v>516</v>
      </c>
      <c r="C140" s="91">
        <f>$D$88*(1+$E$88)^0</f>
        <v>10</v>
      </c>
      <c r="D140" s="91">
        <f>$D$88*(1+$E$88)^1</f>
        <v>10.5</v>
      </c>
      <c r="E140" s="91">
        <f>$D$88*(1+$E$88)^2</f>
        <v>11.025</v>
      </c>
      <c r="F140" s="91">
        <f>$D$88*(1+$E$88)^3</f>
        <v>11.576250000000002</v>
      </c>
      <c r="G140" s="91">
        <f>$D$88*(1+$E$88)^4</f>
        <v>12.1550625</v>
      </c>
      <c r="H140" s="91">
        <f>$D$88*(1+$E$88)^5</f>
        <v>12.762815625000002</v>
      </c>
      <c r="I140" s="91">
        <f>$D$88*(1+$E$88)^6</f>
        <v>13.40095640625</v>
      </c>
      <c r="J140" s="91">
        <f>$D$88*(1+$E$88)^7</f>
        <v>14.071004226562502</v>
      </c>
      <c r="K140" s="91">
        <f>$D$88*(1+$E$88)^8</f>
        <v>14.774554437890625</v>
      </c>
      <c r="L140" s="91">
        <f>$D$88*(1+$E$88)^9</f>
        <v>15.513282159785158</v>
      </c>
      <c r="M140" s="91">
        <f>$D$88*(1+$E$88)^10</f>
        <v>16.288946267774417</v>
      </c>
      <c r="N140" s="91">
        <f>$D$88*(1+$E$88)^11</f>
        <v>17.103393581163139</v>
      </c>
      <c r="O140" s="91">
        <f>$D$88*(1+$E$88)^12</f>
        <v>17.958563260221293</v>
      </c>
      <c r="P140" s="91">
        <f>$D$88*(1+$E$88)^13</f>
        <v>18.856491423232359</v>
      </c>
      <c r="Q140" s="91">
        <f>$D$88*(1+$E$88)^14</f>
        <v>19.799315994393972</v>
      </c>
      <c r="R140" s="91">
        <f>$D$88*(1+$E$88)^15</f>
        <v>20.789281794113677</v>
      </c>
      <c r="S140" s="91">
        <f>$D$88*(1+$E$88)^16</f>
        <v>21.828745883819359</v>
      </c>
      <c r="T140" s="91">
        <f>$D$88*(1+$E$88)^17</f>
        <v>22.920183178010333</v>
      </c>
      <c r="U140" s="91">
        <f>$D$88*(1+$E$88)^18</f>
        <v>24.066192336910849</v>
      </c>
      <c r="V140" s="91">
        <f>$D$88*(1+$E$88)^19</f>
        <v>25.269501953756389</v>
      </c>
      <c r="W140" s="91">
        <f>$D$88*(1+$E$88)^20</f>
        <v>26.53297705144421</v>
      </c>
      <c r="X140" s="91">
        <f>$D$88*(1+$E$88)^21</f>
        <v>27.859625904016418</v>
      </c>
      <c r="Y140" s="91">
        <f>$D$88*(1+$E$88)^22</f>
        <v>29.252607199217238</v>
      </c>
      <c r="Z140" s="91">
        <f>$D$88*(1+$E$88)^23</f>
        <v>30.715237559178107</v>
      </c>
    </row>
    <row r="141" spans="1:26" ht="15" hidden="1" customHeight="1" outlineLevel="1" x14ac:dyDescent="0.3">
      <c r="A141" s="89" t="s">
        <v>517</v>
      </c>
      <c r="B141" s="89">
        <v>0</v>
      </c>
      <c r="C141" s="91">
        <f t="shared" ref="C141:Z141" si="46">B141*(1-$F$88)+C140</f>
        <v>10</v>
      </c>
      <c r="D141" s="91">
        <f t="shared" si="46"/>
        <v>20.049999999999997</v>
      </c>
      <c r="E141" s="91">
        <f t="shared" si="46"/>
        <v>30.172749999999994</v>
      </c>
      <c r="F141" s="91">
        <f t="shared" si="46"/>
        <v>40.391226249999995</v>
      </c>
      <c r="G141" s="91">
        <f t="shared" si="46"/>
        <v>50.728683568749993</v>
      </c>
      <c r="H141" s="91">
        <f t="shared" si="46"/>
        <v>61.208708433156247</v>
      </c>
      <c r="I141" s="91">
        <f t="shared" si="46"/>
        <v>71.855272959914217</v>
      </c>
      <c r="J141" s="91">
        <f t="shared" si="46"/>
        <v>82.692789903280584</v>
      </c>
      <c r="K141" s="91">
        <f t="shared" si="46"/>
        <v>93.746168795523587</v>
      </c>
      <c r="L141" s="91">
        <f t="shared" si="46"/>
        <v>105.04087335951019</v>
      </c>
      <c r="M141" s="91">
        <f t="shared" si="46"/>
        <v>116.60298032610665</v>
      </c>
      <c r="N141" s="91">
        <f t="shared" si="46"/>
        <v>128.45923979259499</v>
      </c>
      <c r="O141" s="91">
        <f t="shared" si="46"/>
        <v>140.63713726214951</v>
      </c>
      <c r="P141" s="91">
        <f t="shared" si="46"/>
        <v>153.16495750858513</v>
      </c>
      <c r="Q141" s="91">
        <f t="shared" si="46"/>
        <v>166.07185041509277</v>
      </c>
      <c r="R141" s="91">
        <f t="shared" si="46"/>
        <v>179.38789894052724</v>
      </c>
      <c r="S141" s="91">
        <f t="shared" si="46"/>
        <v>193.14418937202285</v>
      </c>
      <c r="T141" s="91">
        <f t="shared" si="46"/>
        <v>207.37288402829216</v>
      </c>
      <c r="U141" s="91">
        <f t="shared" si="46"/>
        <v>222.10729658392987</v>
      </c>
      <c r="V141" s="91">
        <f t="shared" si="46"/>
        <v>237.38197019140941</v>
      </c>
      <c r="W141" s="91">
        <f t="shared" si="46"/>
        <v>253.2327585842402</v>
      </c>
      <c r="X141" s="91">
        <f t="shared" si="46"/>
        <v>269.69691035196581</v>
      </c>
      <c r="Y141" s="91">
        <f t="shared" si="46"/>
        <v>286.81315658534459</v>
      </c>
      <c r="Z141" s="91">
        <f t="shared" si="46"/>
        <v>304.62180209818217</v>
      </c>
    </row>
    <row r="142" spans="1:26" ht="15" hidden="1" customHeight="1" outlineLevel="1" x14ac:dyDescent="0.3">
      <c r="A142" s="89" t="s">
        <v>518</v>
      </c>
      <c r="B142" s="90">
        <f>-$I$88</f>
        <v>-600000000</v>
      </c>
      <c r="C142" s="90">
        <f t="shared" ref="C142:Z142" si="47">C141*($B$88-$C$88)-C140*$G$88-$H$88</f>
        <v>-206896990</v>
      </c>
      <c r="D142" s="90">
        <f t="shared" si="47"/>
        <v>-187178464.94999999</v>
      </c>
      <c r="E142" s="90">
        <f t="shared" si="47"/>
        <v>-167466865.50225002</v>
      </c>
      <c r="F142" s="90">
        <f t="shared" si="47"/>
        <v>-147717859.60339877</v>
      </c>
      <c r="G142" s="90">
        <f t="shared" si="47"/>
        <v>-127886909.12243332</v>
      </c>
      <c r="H142" s="90">
        <f t="shared" si="47"/>
        <v>-107929169.07317071</v>
      </c>
      <c r="I142" s="90">
        <f t="shared" si="47"/>
        <v>-87799385.869187236</v>
      </c>
      <c r="J142" s="90">
        <f t="shared" si="47"/>
        <v>-67451794.379598483</v>
      </c>
      <c r="K142" s="90">
        <f t="shared" si="47"/>
        <v>-46840013.550767437</v>
      </c>
      <c r="L142" s="90">
        <f t="shared" si="47"/>
        <v>-25916940.355146363</v>
      </c>
      <c r="M142" s="90">
        <f t="shared" si="47"/>
        <v>-4634641.8240364194</v>
      </c>
      <c r="N142" s="90">
        <f t="shared" si="47"/>
        <v>17055755.083930016</v>
      </c>
      <c r="O142" s="90">
        <f t="shared" si="47"/>
        <v>39204176.032332242</v>
      </c>
      <c r="P142" s="90">
        <f t="shared" si="47"/>
        <v>61861714.534415245</v>
      </c>
      <c r="Q142" s="90">
        <f t="shared" si="47"/>
        <v>85080750.12508142</v>
      </c>
      <c r="R142" s="90">
        <f t="shared" si="47"/>
        <v>108915069.75140327</v>
      </c>
      <c r="S142" s="90">
        <f t="shared" si="47"/>
        <v>133419992.66363823</v>
      </c>
      <c r="T142" s="90">
        <f t="shared" si="47"/>
        <v>158652499.09737504</v>
      </c>
      <c r="U142" s="90">
        <f t="shared" si="47"/>
        <v>184671363.04677379</v>
      </c>
      <c r="V142" s="90">
        <f t="shared" si="47"/>
        <v>211537289.43888867</v>
      </c>
      <c r="W142" s="90">
        <f t="shared" si="47"/>
        <v>239313056.02981925</v>
      </c>
      <c r="X142" s="90">
        <f t="shared" si="47"/>
        <v>268063660.35494202</v>
      </c>
      <c r="Y142" s="90">
        <f t="shared" si="47"/>
        <v>297856472.0777576</v>
      </c>
      <c r="Z142" s="90">
        <f t="shared" si="47"/>
        <v>328761391.09498566</v>
      </c>
    </row>
    <row r="143" spans="1:26" ht="15" hidden="1" customHeight="1" outlineLevel="1" x14ac:dyDescent="0.3">
      <c r="A143" s="89" t="s">
        <v>519</v>
      </c>
      <c r="B143" s="90">
        <f>$J$88+B142</f>
        <v>2400000000</v>
      </c>
      <c r="C143" s="90">
        <f t="shared" ref="C143:Z143" si="48">B143+C142</f>
        <v>2193103010</v>
      </c>
      <c r="D143" s="90">
        <f t="shared" si="48"/>
        <v>2005924545.05</v>
      </c>
      <c r="E143" s="90">
        <f t="shared" si="48"/>
        <v>1838457679.54775</v>
      </c>
      <c r="F143" s="90">
        <f t="shared" si="48"/>
        <v>1690739819.9443512</v>
      </c>
      <c r="G143" s="90">
        <f t="shared" si="48"/>
        <v>1562852910.8219178</v>
      </c>
      <c r="H143" s="90">
        <f t="shared" si="48"/>
        <v>1454923741.7487471</v>
      </c>
      <c r="I143" s="90">
        <f t="shared" si="48"/>
        <v>1367124355.87956</v>
      </c>
      <c r="J143" s="90">
        <f t="shared" si="48"/>
        <v>1299672561.4999616</v>
      </c>
      <c r="K143" s="90">
        <f t="shared" si="48"/>
        <v>1252832547.9491942</v>
      </c>
      <c r="L143" s="90">
        <f t="shared" si="48"/>
        <v>1226915607.5940478</v>
      </c>
      <c r="M143" s="90">
        <f t="shared" si="48"/>
        <v>1222280965.7700114</v>
      </c>
      <c r="N143" s="90">
        <f t="shared" si="48"/>
        <v>1239336720.8539414</v>
      </c>
      <c r="O143" s="90">
        <f t="shared" si="48"/>
        <v>1278540896.8862736</v>
      </c>
      <c r="P143" s="90">
        <f t="shared" si="48"/>
        <v>1340402611.4206889</v>
      </c>
      <c r="Q143" s="90">
        <f t="shared" si="48"/>
        <v>1425483361.5457702</v>
      </c>
      <c r="R143" s="90">
        <f t="shared" si="48"/>
        <v>1534398431.2971735</v>
      </c>
      <c r="S143" s="90">
        <f t="shared" si="48"/>
        <v>1667818423.9608116</v>
      </c>
      <c r="T143" s="90">
        <f t="shared" si="48"/>
        <v>1826470923.0581865</v>
      </c>
      <c r="U143" s="90">
        <f t="shared" si="48"/>
        <v>2011142286.1049604</v>
      </c>
      <c r="V143" s="90">
        <f t="shared" si="48"/>
        <v>2222679575.543849</v>
      </c>
      <c r="W143" s="90">
        <f t="shared" si="48"/>
        <v>2461992631.5736685</v>
      </c>
      <c r="X143" s="90">
        <f t="shared" si="48"/>
        <v>2730056291.9286103</v>
      </c>
      <c r="Y143" s="90">
        <f t="shared" si="48"/>
        <v>3027912764.0063677</v>
      </c>
      <c r="Z143" s="90">
        <f t="shared" si="48"/>
        <v>3356674155.1013532</v>
      </c>
    </row>
    <row r="144" spans="1:26" ht="15" hidden="1" customHeight="1" outlineLevel="1" x14ac:dyDescent="0.3">
      <c r="A144" s="89" t="s">
        <v>520</v>
      </c>
      <c r="B144" s="90">
        <f>B142</f>
        <v>-600000000</v>
      </c>
      <c r="C144" s="90">
        <f t="shared" ref="C144:Z144" si="49">B144+C142</f>
        <v>-806896990</v>
      </c>
      <c r="D144" s="90">
        <f t="shared" si="49"/>
        <v>-994075454.95000005</v>
      </c>
      <c r="E144" s="90">
        <f t="shared" si="49"/>
        <v>-1161542320.45225</v>
      </c>
      <c r="F144" s="90">
        <f t="shared" si="49"/>
        <v>-1309260180.0556488</v>
      </c>
      <c r="G144" s="90">
        <f t="shared" si="49"/>
        <v>-1437147089.1780822</v>
      </c>
      <c r="H144" s="90">
        <f t="shared" si="49"/>
        <v>-1545076258.2512529</v>
      </c>
      <c r="I144" s="90">
        <f t="shared" si="49"/>
        <v>-1632875644.12044</v>
      </c>
      <c r="J144" s="90">
        <f t="shared" si="49"/>
        <v>-1700327438.5000384</v>
      </c>
      <c r="K144" s="90">
        <f t="shared" si="49"/>
        <v>-1747167452.0508058</v>
      </c>
      <c r="L144" s="90">
        <f t="shared" si="49"/>
        <v>-1773084392.4059522</v>
      </c>
      <c r="M144" s="90">
        <f t="shared" si="49"/>
        <v>-1777719034.2299886</v>
      </c>
      <c r="N144" s="90">
        <f t="shared" si="49"/>
        <v>-1760663279.1460586</v>
      </c>
      <c r="O144" s="90">
        <f t="shared" si="49"/>
        <v>-1721459103.1137264</v>
      </c>
      <c r="P144" s="90">
        <f t="shared" si="49"/>
        <v>-1659597388.5793111</v>
      </c>
      <c r="Q144" s="90">
        <f t="shared" si="49"/>
        <v>-1574516638.4542298</v>
      </c>
      <c r="R144" s="90">
        <f t="shared" si="49"/>
        <v>-1465601568.7028265</v>
      </c>
      <c r="S144" s="90">
        <f t="shared" si="49"/>
        <v>-1332181576.0391884</v>
      </c>
      <c r="T144" s="90">
        <f t="shared" si="49"/>
        <v>-1173529076.9418135</v>
      </c>
      <c r="U144" s="90">
        <f t="shared" si="49"/>
        <v>-988857713.89503968</v>
      </c>
      <c r="V144" s="90">
        <f t="shared" si="49"/>
        <v>-777320424.45615101</v>
      </c>
      <c r="W144" s="90">
        <f t="shared" si="49"/>
        <v>-538007368.42633176</v>
      </c>
      <c r="X144" s="90">
        <f t="shared" si="49"/>
        <v>-269943708.07138973</v>
      </c>
      <c r="Y144" s="90">
        <f t="shared" si="49"/>
        <v>27912764.006367862</v>
      </c>
      <c r="Z144" s="90">
        <f t="shared" si="49"/>
        <v>356674155.10135353</v>
      </c>
    </row>
    <row r="145" ht="15" hidden="1" customHeight="1" outlineLevel="1" x14ac:dyDescent="0.3"/>
  </sheetData>
  <sheetProtection sheet="1" formatColumns="0" formatRows="0"/>
  <mergeCells count="7">
    <mergeCell ref="E71:H71"/>
    <mergeCell ref="E75:H75"/>
    <mergeCell ref="E73:H73"/>
    <mergeCell ref="E74:H74"/>
    <mergeCell ref="E76:H76"/>
    <mergeCell ref="E72:H72"/>
    <mergeCell ref="E77:H77"/>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defaultColWidth="8.6640625" defaultRowHeight="14.4" x14ac:dyDescent="0.3"/>
  <cols>
    <col min="1" max="1" width="48" customWidth="1"/>
    <col min="2" max="4" width="18" customWidth="1"/>
    <col min="5" max="5" width="15" customWidth="1"/>
    <col min="6" max="6" width="40" customWidth="1"/>
    <col min="7" max="7" width="52" customWidth="1"/>
  </cols>
  <sheetData>
    <row r="1" spans="1:7" ht="17.25" customHeight="1" x14ac:dyDescent="0.3">
      <c r="A1" s="1" t="s">
        <v>521</v>
      </c>
    </row>
    <row r="2" spans="1:7" ht="15" customHeight="1" x14ac:dyDescent="0.3">
      <c r="A2" s="8" t="s">
        <v>522</v>
      </c>
    </row>
    <row r="3" spans="1:7" ht="15" customHeight="1" x14ac:dyDescent="0.3">
      <c r="A3" s="93" t="s">
        <v>523</v>
      </c>
    </row>
    <row r="4" spans="1:7" ht="15" customHeight="1" x14ac:dyDescent="0.3">
      <c r="A4" s="13" t="s">
        <v>307</v>
      </c>
      <c r="B4" s="13" t="s">
        <v>308</v>
      </c>
      <c r="C4" s="13" t="s">
        <v>309</v>
      </c>
      <c r="D4" s="13" t="s">
        <v>310</v>
      </c>
      <c r="E4" s="13" t="s">
        <v>164</v>
      </c>
      <c r="F4" s="13" t="s">
        <v>165</v>
      </c>
      <c r="G4" s="13" t="s">
        <v>311</v>
      </c>
    </row>
    <row r="5" spans="1:7" ht="15.75" customHeight="1" x14ac:dyDescent="0.3">
      <c r="A5" s="35" t="s">
        <v>524</v>
      </c>
      <c r="B5" s="94"/>
      <c r="C5" s="94"/>
      <c r="D5" s="94"/>
      <c r="E5" s="37" t="s">
        <v>525</v>
      </c>
      <c r="F5" s="65"/>
      <c r="G5" s="39" t="s">
        <v>526</v>
      </c>
    </row>
    <row r="6" spans="1:7" ht="31.5" customHeight="1" x14ac:dyDescent="0.3">
      <c r="A6" s="60" t="s">
        <v>527</v>
      </c>
      <c r="B6" s="94"/>
      <c r="C6" s="94"/>
      <c r="D6" s="94"/>
      <c r="E6" s="37" t="s">
        <v>528</v>
      </c>
      <c r="F6" s="65"/>
      <c r="G6" s="39" t="s">
        <v>529</v>
      </c>
    </row>
    <row r="7" spans="1:7" ht="30" customHeight="1" x14ac:dyDescent="0.3">
      <c r="A7" s="35" t="s">
        <v>530</v>
      </c>
      <c r="B7" s="41"/>
      <c r="C7" s="41"/>
      <c r="D7" s="41"/>
      <c r="E7" s="37" t="s">
        <v>194</v>
      </c>
      <c r="F7" s="65"/>
      <c r="G7" s="39" t="s">
        <v>531</v>
      </c>
    </row>
    <row r="8" spans="1:7" ht="15.75" customHeight="1" x14ac:dyDescent="0.3">
      <c r="A8" s="35" t="s">
        <v>532</v>
      </c>
      <c r="B8" s="64"/>
      <c r="C8" s="64"/>
      <c r="D8" s="64"/>
      <c r="E8" s="37" t="s">
        <v>209</v>
      </c>
      <c r="F8" s="65"/>
      <c r="G8" s="39" t="s">
        <v>533</v>
      </c>
    </row>
    <row r="9" spans="1:7" ht="15.75" customHeight="1" x14ac:dyDescent="0.3">
      <c r="A9" s="35" t="s">
        <v>534</v>
      </c>
      <c r="B9" s="64"/>
      <c r="C9" s="64"/>
      <c r="D9" s="64"/>
      <c r="E9" s="37" t="s">
        <v>257</v>
      </c>
      <c r="F9" s="65"/>
      <c r="G9" s="39" t="s">
        <v>535</v>
      </c>
    </row>
    <row r="10" spans="1:7" ht="15.75" customHeight="1" x14ac:dyDescent="0.3">
      <c r="A10" s="35" t="s">
        <v>536</v>
      </c>
      <c r="B10" s="64"/>
      <c r="C10" s="64"/>
      <c r="D10" s="64"/>
      <c r="E10" s="37" t="s">
        <v>537</v>
      </c>
      <c r="F10" s="65"/>
      <c r="G10" s="39" t="s">
        <v>538</v>
      </c>
    </row>
    <row r="11" spans="1:7" ht="15.75" customHeight="1" x14ac:dyDescent="0.3">
      <c r="A11" s="35" t="s">
        <v>539</v>
      </c>
      <c r="B11" s="64"/>
      <c r="C11" s="64"/>
      <c r="D11" s="64"/>
      <c r="E11" s="37" t="s">
        <v>537</v>
      </c>
      <c r="F11" s="65"/>
      <c r="G11" s="39" t="s">
        <v>540</v>
      </c>
    </row>
    <row r="12" spans="1:7" ht="15.75" customHeight="1" x14ac:dyDescent="0.3">
      <c r="A12" s="35" t="s">
        <v>541</v>
      </c>
      <c r="B12" s="64"/>
      <c r="C12" s="64"/>
      <c r="D12" s="64"/>
      <c r="E12" s="37" t="s">
        <v>257</v>
      </c>
      <c r="F12" s="65"/>
      <c r="G12" s="39" t="s">
        <v>542</v>
      </c>
    </row>
    <row r="13" spans="1:7" ht="15" customHeight="1" x14ac:dyDescent="0.3">
      <c r="A13" s="35" t="s">
        <v>342</v>
      </c>
      <c r="B13" s="41">
        <v>0.15</v>
      </c>
      <c r="C13" s="41">
        <v>0.15</v>
      </c>
      <c r="D13" s="41">
        <v>0.15</v>
      </c>
      <c r="E13" s="37" t="s">
        <v>194</v>
      </c>
      <c r="F13" s="65" t="s">
        <v>543</v>
      </c>
      <c r="G13" s="37"/>
    </row>
    <row r="15" spans="1:7" ht="26.25" customHeight="1" x14ac:dyDescent="0.3">
      <c r="A15" s="13" t="s">
        <v>544</v>
      </c>
      <c r="B15" s="13" t="s">
        <v>308</v>
      </c>
      <c r="C15" s="13" t="s">
        <v>309</v>
      </c>
      <c r="D15" s="13" t="s">
        <v>310</v>
      </c>
      <c r="E15" s="13" t="s">
        <v>355</v>
      </c>
    </row>
    <row r="16" spans="1:7" ht="15" customHeight="1" x14ac:dyDescent="0.3">
      <c r="A16" s="42" t="s">
        <v>545</v>
      </c>
      <c r="B16" s="43">
        <f>B5*B6*52/12*B7*B8+B9</f>
        <v>0</v>
      </c>
      <c r="C16" s="43">
        <f>C5*C6*52/12*C7*C8+C9</f>
        <v>0</v>
      </c>
      <c r="D16" s="43">
        <f>D5*D6*52/12*D7*D8+D9</f>
        <v>0</v>
      </c>
    </row>
    <row r="17" spans="1:5" ht="15" customHeight="1" x14ac:dyDescent="0.3">
      <c r="A17" s="42" t="s">
        <v>546</v>
      </c>
      <c r="B17" s="43">
        <f>B16-B12</f>
        <v>0</v>
      </c>
      <c r="C17" s="43">
        <f>C16-C12</f>
        <v>0</v>
      </c>
      <c r="D17" s="43">
        <f>D16-D12</f>
        <v>0</v>
      </c>
      <c r="E17" t="s">
        <v>407</v>
      </c>
    </row>
    <row r="18" spans="1:5" ht="15" customHeight="1" x14ac:dyDescent="0.3">
      <c r="A18" s="42" t="s">
        <v>547</v>
      </c>
      <c r="B18" s="43">
        <f>B10+B11</f>
        <v>0</v>
      </c>
      <c r="C18" s="43">
        <f>C10+C11</f>
        <v>0</v>
      </c>
      <c r="D18" s="43">
        <f>D10+D11</f>
        <v>0</v>
      </c>
    </row>
    <row r="19" spans="1:5" ht="15" customHeight="1" x14ac:dyDescent="0.3">
      <c r="A19" s="42" t="s">
        <v>548</v>
      </c>
      <c r="B19" s="95" t="str">
        <f>IF(B5=0,"Chưa điền",IF(B17&gt;0,B18/B17,"Không hoàn vốn"))</f>
        <v>Chưa điền</v>
      </c>
      <c r="C19" s="95" t="str">
        <f>IF(C5=0,"Chưa điền",IF(C17&gt;0,C18/C17,"Không hoàn vốn"))</f>
        <v>Chưa điền</v>
      </c>
      <c r="D19" s="95" t="str">
        <f>IF(D5=0,"Chưa điền",IF(D17&gt;0,D18/D17,"Không hoàn vốn"))</f>
        <v>Chưa điền</v>
      </c>
      <c r="E19" t="s">
        <v>364</v>
      </c>
    </row>
    <row r="20" spans="1:5" ht="15" customHeight="1" x14ac:dyDescent="0.3">
      <c r="A20" s="42" t="s">
        <v>549</v>
      </c>
      <c r="B20" s="45">
        <f>IFERROR((12*B17-B18)/B18,0)</f>
        <v>0</v>
      </c>
      <c r="C20" s="45">
        <f>IFERROR((12*C17-C18)/C18,0)</f>
        <v>0</v>
      </c>
      <c r="D20" s="45">
        <f>IFERROR((12*D17-D18)/D18,0)</f>
        <v>0</v>
      </c>
      <c r="E20" t="s">
        <v>407</v>
      </c>
    </row>
    <row r="21" spans="1:5" ht="15" customHeight="1" x14ac:dyDescent="0.3">
      <c r="A21" s="42" t="s">
        <v>550</v>
      </c>
      <c r="B21" s="44">
        <f>PV(B13/12,24,-B17)-B18</f>
        <v>0</v>
      </c>
      <c r="C21" s="44">
        <f>PV(C13/12,24,-C17)-C18</f>
        <v>0</v>
      </c>
      <c r="D21" s="44">
        <f>PV(D13/12,24,-D17)-D18</f>
        <v>0</v>
      </c>
      <c r="E21" t="s">
        <v>407</v>
      </c>
    </row>
    <row r="22" spans="1:5" ht="15" customHeight="1" x14ac:dyDescent="0.3">
      <c r="A22" s="42" t="s">
        <v>551</v>
      </c>
      <c r="B22" s="68" t="str">
        <f>IF(B5=0,"Chưa điền",IF(NOT(ISNUMBER(B19)),"Dừng",IF(B19&lt;12,"Làm","Thử nghiệm nhỏ")))</f>
        <v>Chưa điền</v>
      </c>
      <c r="C22" s="68" t="str">
        <f>IF(C5=0,"Chưa điền",IF(NOT(ISNUMBER(C19)),"Dừng",IF(C19&lt;12,"Làm","Thử nghiệm nhỏ")))</f>
        <v>Chưa điền</v>
      </c>
      <c r="D22" s="68" t="str">
        <f>IF(D5=0,"Chưa điền",IF(NOT(ISNUMBER(D19)),"Dừng",IF(D19&lt;12,"Làm","Thử nghiệm nhỏ")))</f>
        <v>Chưa điền</v>
      </c>
      <c r="E22" s="46" t="s">
        <v>552</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defaultColWidth="8.6640625" defaultRowHeight="14.4" x14ac:dyDescent="0.3"/>
  <cols>
    <col min="1" max="1" width="60" customWidth="1"/>
    <col min="2" max="2" width="24" customWidth="1"/>
    <col min="3" max="3" width="26" customWidth="1"/>
  </cols>
  <sheetData>
    <row r="1" spans="1:3" ht="17.25" customHeight="1" x14ac:dyDescent="0.3">
      <c r="A1" s="1" t="s">
        <v>553</v>
      </c>
    </row>
    <row r="2" spans="1:3" ht="31.5" customHeight="1" x14ac:dyDescent="0.3">
      <c r="A2" s="116" t="s">
        <v>554</v>
      </c>
      <c r="B2" s="102"/>
      <c r="C2" s="102"/>
    </row>
    <row r="4" spans="1:3" ht="15" customHeight="1" x14ac:dyDescent="0.3">
      <c r="A4" s="13" t="s">
        <v>555</v>
      </c>
      <c r="B4" s="13" t="s">
        <v>556</v>
      </c>
      <c r="C4" s="13" t="s">
        <v>557</v>
      </c>
    </row>
    <row r="5" spans="1:3" ht="15" customHeight="1" x14ac:dyDescent="0.3">
      <c r="A5" s="42" t="s">
        <v>558</v>
      </c>
      <c r="B5" s="45">
        <f>'1_Chi phí mỗi việc'!B25</f>
        <v>1.1047598252139985</v>
      </c>
      <c r="C5" s="55" t="str">
        <f>IF(B5&gt;=0.3,"Đạt","Xem lại")</f>
        <v>Đạt</v>
      </c>
    </row>
    <row r="6" spans="1:3" ht="15" customHeight="1" x14ac:dyDescent="0.3">
      <c r="A6" s="42" t="s">
        <v>559</v>
      </c>
      <c r="B6" s="45">
        <f>'4_Chỉ số mỗi khách'!C7</f>
        <v>0.68917504798464491</v>
      </c>
      <c r="C6" s="55" t="str">
        <f>IF(B6&gt;=0.6,"Đạt","Xem lại")</f>
        <v>Đạt</v>
      </c>
    </row>
    <row r="7" spans="1:3" ht="15" customHeight="1" x14ac:dyDescent="0.3">
      <c r="A7" s="42" t="s">
        <v>560</v>
      </c>
      <c r="B7" s="96">
        <f>'4_Chỉ số mỗi khách'!C11</f>
        <v>11.398736507936507</v>
      </c>
      <c r="C7" s="55" t="str">
        <f>IF(B7&gt;3,"Đạt","Xem lại")</f>
        <v>Đạt</v>
      </c>
    </row>
    <row r="8" spans="1:3" ht="15" customHeight="1" x14ac:dyDescent="0.3">
      <c r="A8" s="42" t="s">
        <v>561</v>
      </c>
      <c r="B8" s="66">
        <f>'4_Chỉ số mỗi khách'!C12</f>
        <v>1.9495338107648801</v>
      </c>
      <c r="C8" s="55" t="str">
        <f>IF(AND(B8&gt;0,B8&lt;12),"Đạt","Xem lại")</f>
        <v>Đạt</v>
      </c>
    </row>
    <row r="9" spans="1:3" ht="15" customHeight="1" x14ac:dyDescent="0.3">
      <c r="A9" s="42" t="s">
        <v>562</v>
      </c>
      <c r="B9" s="55" t="str">
        <f>IF(AND('3_Giả định'!C9&gt;0,'3_Giả định'!C10&gt;0,'3_Giả định'!D9&gt;=1.5*'3_Giả định'!C9,'3_Giả định'!D10&gt;=1.5*'3_Giả định'!C10),"Có","Không")</f>
        <v>Có</v>
      </c>
      <c r="C9" s="55" t="str">
        <f>IF(B9="Có","Đạt","Xem lại")</f>
        <v>Đạt</v>
      </c>
    </row>
    <row r="10" spans="1:3" ht="15" customHeight="1" x14ac:dyDescent="0.3">
      <c r="A10" s="42" t="s">
        <v>563</v>
      </c>
      <c r="B10" s="73">
        <f>'5_Dòng tiền &amp; hiệu quả'!D47</f>
        <v>17</v>
      </c>
      <c r="C10" s="55" t="str">
        <f>IF(B10="Chưa điền","Chưa điền",IF(ISNUMBER(B10),IF(B10&gt;=12,"Đạt","Cần kế hoạch cắt giảm"),"Đạt"))</f>
        <v>Đạt</v>
      </c>
    </row>
    <row r="11" spans="1:3" ht="15" customHeight="1" x14ac:dyDescent="0.3">
      <c r="A11" s="42" t="s">
        <v>564</v>
      </c>
      <c r="B11" s="43">
        <f>'5_Dòng tiền &amp; hiệu quả'!C44</f>
        <v>3513140540.1818113</v>
      </c>
      <c r="C11" s="55" t="str">
        <f>IF(B11&gt;0,"Đạt","Xem lại")</f>
        <v>Đạt</v>
      </c>
    </row>
    <row r="12" spans="1:3" ht="15" customHeight="1" x14ac:dyDescent="0.3">
      <c r="A12" s="42" t="s">
        <v>565</v>
      </c>
      <c r="B12" s="55" t="str">
        <f>'5_Dòng tiền &amp; hiệu quả'!B66</f>
        <v>Doanh thu bình quân giảm</v>
      </c>
      <c r="C12" s="55" t="str">
        <f>IF(B12="Chưa đủ số liệu","Xem lại","Ghi vào câu 3")</f>
        <v>Ghi vào câu 3</v>
      </c>
    </row>
    <row r="13" spans="1:3" ht="16.5" customHeight="1" x14ac:dyDescent="0.3">
      <c r="A13" s="113" t="s">
        <v>566</v>
      </c>
      <c r="B13" s="102"/>
      <c r="C13" s="102"/>
    </row>
    <row r="14" spans="1:3" ht="48.75" customHeight="1" x14ac:dyDescent="0.3">
      <c r="A14" s="106" t="s">
        <v>567</v>
      </c>
      <c r="B14" s="102"/>
      <c r="C14" s="102"/>
    </row>
    <row r="15" spans="1:3" ht="48" customHeight="1" x14ac:dyDescent="0.3">
      <c r="A15" s="114" t="s">
        <v>568</v>
      </c>
      <c r="B15" s="115"/>
      <c r="C15" s="115"/>
    </row>
    <row r="17" spans="1:3" ht="18.75" customHeight="1" x14ac:dyDescent="0.3">
      <c r="A17" s="106" t="s">
        <v>569</v>
      </c>
      <c r="B17" s="102"/>
      <c r="C17" s="102"/>
    </row>
    <row r="18" spans="1:3" ht="48" customHeight="1" x14ac:dyDescent="0.3">
      <c r="A18" s="114" t="s">
        <v>570</v>
      </c>
      <c r="B18" s="115"/>
      <c r="C18" s="115"/>
    </row>
    <row r="20" spans="1:3" ht="18.75" customHeight="1" x14ac:dyDescent="0.3">
      <c r="A20" s="106" t="s">
        <v>571</v>
      </c>
      <c r="B20" s="102"/>
      <c r="C20" s="102"/>
    </row>
    <row r="21" spans="1:3" ht="48" customHeight="1" x14ac:dyDescent="0.3">
      <c r="A21" s="114" t="s">
        <v>572</v>
      </c>
      <c r="B21" s="115"/>
      <c r="C21" s="115"/>
    </row>
    <row r="23" spans="1:3" ht="63.75" customHeight="1" x14ac:dyDescent="0.3">
      <c r="A23" s="106" t="s">
        <v>573</v>
      </c>
      <c r="B23" s="102"/>
      <c r="C23" s="102"/>
    </row>
    <row r="24" spans="1:3" ht="48" customHeight="1" x14ac:dyDescent="0.3">
      <c r="A24" s="114" t="s">
        <v>574</v>
      </c>
      <c r="B24" s="115"/>
      <c r="C24" s="115"/>
    </row>
    <row r="26" spans="1:3" ht="33.75" customHeight="1" x14ac:dyDescent="0.3">
      <c r="A26" s="106" t="s">
        <v>575</v>
      </c>
      <c r="B26" s="102"/>
      <c r="C26" s="102"/>
    </row>
    <row r="27" spans="1:3" ht="48" customHeight="1" x14ac:dyDescent="0.3">
      <c r="A27" s="103" t="s">
        <v>576</v>
      </c>
      <c r="B27" s="104"/>
      <c r="C27" s="105"/>
    </row>
  </sheetData>
  <sheetProtection sheet="1" formatColumns="0" formatRows="0"/>
  <mergeCells count="12">
    <mergeCell ref="A2:C2"/>
    <mergeCell ref="A27:C27"/>
    <mergeCell ref="A21:C21"/>
    <mergeCell ref="A15:C15"/>
    <mergeCell ref="A26:C26"/>
    <mergeCell ref="A24:C24"/>
    <mergeCell ref="A20:C20"/>
    <mergeCell ref="A13:C13"/>
    <mergeCell ref="A23:C23"/>
    <mergeCell ref="A14:C14"/>
    <mergeCell ref="A17:C17"/>
    <mergeCell ref="A18:C1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6640625" defaultRowHeight="14.4" x14ac:dyDescent="0.3"/>
  <cols>
    <col min="1" max="1" width="28" customWidth="1"/>
    <col min="2" max="2" width="30" customWidth="1"/>
    <col min="3" max="3" width="80" customWidth="1"/>
    <col min="4" max="4" width="40" customWidth="1"/>
  </cols>
  <sheetData>
    <row r="1" spans="1:4" ht="17.25" customHeight="1" x14ac:dyDescent="0.3">
      <c r="A1" s="1" t="s">
        <v>577</v>
      </c>
    </row>
    <row r="2" spans="1:4" ht="15" customHeight="1" x14ac:dyDescent="0.3">
      <c r="A2" s="8" t="s">
        <v>578</v>
      </c>
    </row>
    <row r="4" spans="1:4" ht="15" customHeight="1" x14ac:dyDescent="0.3">
      <c r="A4" s="13" t="s">
        <v>579</v>
      </c>
      <c r="B4" s="13" t="s">
        <v>580</v>
      </c>
      <c r="C4" s="13" t="s">
        <v>581</v>
      </c>
      <c r="D4" s="13" t="s">
        <v>582</v>
      </c>
    </row>
    <row r="5" spans="1:4" ht="15" customHeight="1" x14ac:dyDescent="0.3">
      <c r="A5" s="42" t="s">
        <v>583</v>
      </c>
      <c r="B5">
        <v>10</v>
      </c>
      <c r="C5" s="3" t="s">
        <v>584</v>
      </c>
      <c r="D5" s="97"/>
    </row>
    <row r="6" spans="1:4" ht="15" customHeight="1" x14ac:dyDescent="0.3">
      <c r="A6" s="42" t="s">
        <v>585</v>
      </c>
      <c r="B6">
        <v>15</v>
      </c>
      <c r="C6" s="3" t="s">
        <v>586</v>
      </c>
      <c r="D6" s="97"/>
    </row>
    <row r="7" spans="1:4" ht="15" customHeight="1" x14ac:dyDescent="0.3">
      <c r="A7" s="42" t="s">
        <v>587</v>
      </c>
      <c r="B7">
        <v>15</v>
      </c>
      <c r="C7" s="3" t="s">
        <v>588</v>
      </c>
      <c r="D7" s="97"/>
    </row>
    <row r="8" spans="1:4" ht="15" customHeight="1" x14ac:dyDescent="0.3">
      <c r="A8" s="42" t="s">
        <v>589</v>
      </c>
      <c r="B8">
        <v>20</v>
      </c>
      <c r="C8" s="3" t="s">
        <v>590</v>
      </c>
      <c r="D8" s="97"/>
    </row>
    <row r="9" spans="1:4" ht="15" customHeight="1" x14ac:dyDescent="0.3">
      <c r="A9" s="42" t="s">
        <v>591</v>
      </c>
      <c r="B9">
        <v>20</v>
      </c>
      <c r="C9" s="3" t="s">
        <v>592</v>
      </c>
      <c r="D9" s="97"/>
    </row>
    <row r="10" spans="1:4" ht="15" customHeight="1" x14ac:dyDescent="0.3">
      <c r="A10" s="42" t="s">
        <v>593</v>
      </c>
      <c r="B10">
        <v>20</v>
      </c>
      <c r="C10" s="3" t="s">
        <v>594</v>
      </c>
      <c r="D10" s="97"/>
    </row>
    <row r="11" spans="1:4" ht="15" customHeight="1" x14ac:dyDescent="0.3">
      <c r="A11" s="4" t="s">
        <v>595</v>
      </c>
      <c r="B11">
        <f>SUM(B5:B10)</f>
        <v>100</v>
      </c>
      <c r="D11" s="55">
        <f>SUM(D5:D10)</f>
        <v>0</v>
      </c>
    </row>
    <row r="12" spans="1:4" ht="15" customHeight="1" x14ac:dyDescent="0.3">
      <c r="A12" s="4" t="s">
        <v>596</v>
      </c>
      <c r="B12" t="s">
        <v>597</v>
      </c>
      <c r="C12" t="s">
        <v>598</v>
      </c>
      <c r="D12" s="97"/>
    </row>
    <row r="15" spans="1:4" ht="15" customHeight="1" x14ac:dyDescent="0.3">
      <c r="A15" s="72" t="s">
        <v>599</v>
      </c>
    </row>
    <row r="16" spans="1:4" ht="15" customHeight="1" x14ac:dyDescent="0.3">
      <c r="A16" s="13" t="s">
        <v>579</v>
      </c>
      <c r="B16" s="13" t="s">
        <v>600</v>
      </c>
      <c r="C16" s="13" t="s">
        <v>601</v>
      </c>
      <c r="D16" s="13" t="s">
        <v>602</v>
      </c>
    </row>
    <row r="17" spans="1:4" ht="45.75" customHeight="1" x14ac:dyDescent="0.3">
      <c r="A17" s="19" t="s">
        <v>603</v>
      </c>
      <c r="B17" s="98" t="s">
        <v>604</v>
      </c>
      <c r="C17" s="98" t="s">
        <v>605</v>
      </c>
      <c r="D17" s="98" t="s">
        <v>606</v>
      </c>
    </row>
    <row r="18" spans="1:4" ht="45.75" customHeight="1" x14ac:dyDescent="0.3">
      <c r="A18" s="19" t="s">
        <v>607</v>
      </c>
      <c r="B18" s="98" t="s">
        <v>608</v>
      </c>
      <c r="C18" s="98" t="s">
        <v>609</v>
      </c>
      <c r="D18" s="98" t="s">
        <v>610</v>
      </c>
    </row>
    <row r="19" spans="1:4" ht="45.75" customHeight="1" x14ac:dyDescent="0.3">
      <c r="A19" s="19" t="s">
        <v>611</v>
      </c>
      <c r="B19" s="98" t="s">
        <v>612</v>
      </c>
      <c r="C19" s="98" t="s">
        <v>613</v>
      </c>
      <c r="D19" s="98" t="s">
        <v>614</v>
      </c>
    </row>
    <row r="20" spans="1:4" ht="45.75" customHeight="1" x14ac:dyDescent="0.3">
      <c r="A20" s="19" t="s">
        <v>615</v>
      </c>
      <c r="B20" s="98" t="s">
        <v>616</v>
      </c>
      <c r="C20" s="98" t="s">
        <v>617</v>
      </c>
      <c r="D20" s="98" t="s">
        <v>618</v>
      </c>
    </row>
    <row r="22" spans="1:4" ht="15" customHeight="1" x14ac:dyDescent="0.3">
      <c r="A22" s="46" t="s">
        <v>619</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6640625" defaultRowHeight="14.4" x14ac:dyDescent="0.3"/>
  <cols>
    <col min="1" max="1" width="44" customWidth="1"/>
    <col min="2" max="3" width="22" customWidth="1"/>
    <col min="4" max="4" width="70" customWidth="1"/>
    <col min="5" max="5" width="48" customWidth="1"/>
  </cols>
  <sheetData>
    <row r="1" spans="1:5" ht="15" customHeight="1" x14ac:dyDescent="0.3">
      <c r="A1" s="72" t="s">
        <v>620</v>
      </c>
    </row>
    <row r="2" spans="1:5" ht="15" customHeight="1" x14ac:dyDescent="0.3">
      <c r="A2" s="46" t="s">
        <v>621</v>
      </c>
    </row>
    <row r="4" spans="1:5" ht="27.75" customHeight="1" x14ac:dyDescent="0.3">
      <c r="A4" s="13" t="s">
        <v>622</v>
      </c>
      <c r="B4" s="13" t="s">
        <v>623</v>
      </c>
      <c r="C4" s="13" t="s">
        <v>624</v>
      </c>
      <c r="D4" s="13" t="s">
        <v>625</v>
      </c>
      <c r="E4" s="13" t="s">
        <v>57</v>
      </c>
    </row>
    <row r="5" spans="1:5" ht="15" customHeight="1" x14ac:dyDescent="0.3">
      <c r="A5" s="74" t="s">
        <v>626</v>
      </c>
      <c r="B5" s="99">
        <v>0.1</v>
      </c>
      <c r="C5" s="99">
        <v>0.5</v>
      </c>
      <c r="D5" s="74" t="s">
        <v>627</v>
      </c>
      <c r="E5" s="74" t="s">
        <v>628</v>
      </c>
    </row>
    <row r="6" spans="1:5" ht="15" customHeight="1" x14ac:dyDescent="0.3">
      <c r="A6" s="74" t="s">
        <v>629</v>
      </c>
      <c r="B6" s="99">
        <v>2</v>
      </c>
      <c r="C6" s="99">
        <v>10</v>
      </c>
      <c r="D6" s="74" t="s">
        <v>630</v>
      </c>
      <c r="E6" s="74" t="s">
        <v>631</v>
      </c>
    </row>
    <row r="7" spans="1:5" ht="15" customHeight="1" x14ac:dyDescent="0.3">
      <c r="A7" s="74" t="s">
        <v>632</v>
      </c>
      <c r="B7" s="99">
        <v>1</v>
      </c>
      <c r="C7" s="99">
        <v>5</v>
      </c>
      <c r="D7" s="74" t="s">
        <v>633</v>
      </c>
      <c r="E7" s="74"/>
    </row>
    <row r="8" spans="1:5" ht="15" customHeight="1" x14ac:dyDescent="0.3">
      <c r="A8" s="74" t="s">
        <v>634</v>
      </c>
      <c r="B8" s="99">
        <v>2</v>
      </c>
      <c r="C8" s="99">
        <v>10</v>
      </c>
      <c r="D8" s="74" t="s">
        <v>633</v>
      </c>
      <c r="E8" s="74" t="s">
        <v>635</v>
      </c>
    </row>
    <row r="11" spans="1:5" ht="15" customHeight="1" x14ac:dyDescent="0.3">
      <c r="A11" s="13" t="s">
        <v>636</v>
      </c>
      <c r="B11" s="13" t="s">
        <v>163</v>
      </c>
      <c r="C11" s="13" t="s">
        <v>164</v>
      </c>
      <c r="D11" s="13" t="s">
        <v>637</v>
      </c>
      <c r="E11" s="13" t="s">
        <v>57</v>
      </c>
    </row>
    <row r="12" spans="1:5" ht="15" customHeight="1" x14ac:dyDescent="0.3">
      <c r="A12" s="74" t="s">
        <v>638</v>
      </c>
      <c r="B12" s="100">
        <v>26170</v>
      </c>
      <c r="C12" s="74" t="s">
        <v>190</v>
      </c>
      <c r="D12" s="74" t="s">
        <v>639</v>
      </c>
      <c r="E12" s="74" t="s">
        <v>640</v>
      </c>
    </row>
    <row r="13" spans="1:5" ht="15" customHeight="1" x14ac:dyDescent="0.3">
      <c r="A13" s="74" t="s">
        <v>641</v>
      </c>
      <c r="B13" s="100">
        <v>25636</v>
      </c>
      <c r="C13" s="74" t="s">
        <v>190</v>
      </c>
      <c r="D13" s="74" t="s">
        <v>642</v>
      </c>
      <c r="E13" s="74" t="s">
        <v>643</v>
      </c>
    </row>
    <row r="14" spans="1:5" ht="15" customHeight="1" x14ac:dyDescent="0.3">
      <c r="A14" s="74" t="s">
        <v>644</v>
      </c>
      <c r="B14" s="100">
        <v>5310000</v>
      </c>
      <c r="C14" s="74" t="s">
        <v>257</v>
      </c>
      <c r="D14" s="74" t="s">
        <v>645</v>
      </c>
      <c r="E14" s="74" t="s">
        <v>646</v>
      </c>
    </row>
    <row r="15" spans="1:5" ht="15" customHeight="1" x14ac:dyDescent="0.3">
      <c r="A15" s="74" t="s">
        <v>647</v>
      </c>
      <c r="B15" s="100">
        <v>25500</v>
      </c>
      <c r="C15" s="74" t="s">
        <v>209</v>
      </c>
      <c r="D15" s="74" t="s">
        <v>645</v>
      </c>
      <c r="E15" s="74" t="s">
        <v>648</v>
      </c>
    </row>
    <row r="18" spans="1:5" ht="15" customHeight="1" x14ac:dyDescent="0.3">
      <c r="A18" s="13" t="s">
        <v>649</v>
      </c>
      <c r="B18" s="13" t="s">
        <v>650</v>
      </c>
    </row>
    <row r="19" spans="1:5" ht="48" customHeight="1" x14ac:dyDescent="0.3">
      <c r="A19" s="98" t="s">
        <v>651</v>
      </c>
      <c r="B19" s="117" t="s">
        <v>652</v>
      </c>
      <c r="C19" s="102"/>
      <c r="D19" s="102"/>
      <c r="E19" s="102"/>
    </row>
    <row r="20" spans="1:5" ht="48" customHeight="1" x14ac:dyDescent="0.3">
      <c r="A20" s="98" t="s">
        <v>653</v>
      </c>
      <c r="B20" s="117" t="s">
        <v>654</v>
      </c>
      <c r="C20" s="102"/>
      <c r="D20" s="102"/>
      <c r="E20" s="102"/>
    </row>
    <row r="21" spans="1:5" ht="48" customHeight="1" x14ac:dyDescent="0.3">
      <c r="A21" s="98" t="s">
        <v>655</v>
      </c>
      <c r="B21" s="117" t="s">
        <v>656</v>
      </c>
      <c r="C21" s="102"/>
      <c r="D21" s="102"/>
      <c r="E21" s="102"/>
    </row>
    <row r="23" spans="1:5" ht="15" customHeight="1" x14ac:dyDescent="0.3">
      <c r="A23" s="13" t="s">
        <v>657</v>
      </c>
      <c r="B23" s="13" t="s">
        <v>658</v>
      </c>
    </row>
    <row r="24" spans="1:5" ht="48" customHeight="1" x14ac:dyDescent="0.3">
      <c r="A24" s="98" t="s">
        <v>659</v>
      </c>
      <c r="B24" s="117" t="s">
        <v>660</v>
      </c>
      <c r="C24" s="102"/>
      <c r="D24" s="102"/>
      <c r="E24" s="102"/>
    </row>
    <row r="25" spans="1:5" ht="48" customHeight="1" x14ac:dyDescent="0.3">
      <c r="A25" s="98" t="s">
        <v>661</v>
      </c>
      <c r="B25" s="117" t="s">
        <v>662</v>
      </c>
      <c r="C25" s="102"/>
      <c r="D25" s="102"/>
      <c r="E25" s="102"/>
    </row>
    <row r="26" spans="1:5" ht="48" customHeight="1" x14ac:dyDescent="0.3">
      <c r="A26" s="98" t="s">
        <v>663</v>
      </c>
      <c r="B26" s="117" t="s">
        <v>664</v>
      </c>
      <c r="C26" s="102"/>
      <c r="D26" s="102"/>
      <c r="E26" s="102"/>
    </row>
    <row r="27" spans="1:5" ht="48" customHeight="1" x14ac:dyDescent="0.3">
      <c r="A27" s="98" t="s">
        <v>665</v>
      </c>
      <c r="B27" s="117" t="s">
        <v>666</v>
      </c>
      <c r="C27" s="102"/>
      <c r="D27" s="102"/>
      <c r="E27" s="102"/>
    </row>
    <row r="28" spans="1:5" ht="48" customHeight="1" x14ac:dyDescent="0.3">
      <c r="A28" s="98" t="s">
        <v>667</v>
      </c>
      <c r="B28" s="117" t="s">
        <v>668</v>
      </c>
      <c r="C28" s="102"/>
      <c r="D28" s="102"/>
      <c r="E28" s="102"/>
    </row>
  </sheetData>
  <sheetProtection sheet="1" formatColumns="0" formatRows="0"/>
  <mergeCells count="8">
    <mergeCell ref="B19:E19"/>
    <mergeCell ref="B20:E20"/>
    <mergeCell ref="B28:E28"/>
    <mergeCell ref="B26:E26"/>
    <mergeCell ref="B27:E27"/>
    <mergeCell ref="B21:E21"/>
    <mergeCell ref="B25:E25"/>
    <mergeCell ref="B24:E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THI MINH KHANH (S.AI.20K)</cp:lastModifiedBy>
  <cp:revision>0</cp:revision>
  <dcterms:created xsi:type="dcterms:W3CDTF">2026-10-04T05:18:06Z</dcterms:created>
  <dcterms:modified xsi:type="dcterms:W3CDTF">2026-10-12T10:25:51Z</dcterms:modified>
  <dc:language>en-US</dc:language>
</cp:coreProperties>
</file>